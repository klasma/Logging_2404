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</v>
      </c>
      <c r="C2" s="1" t="n">
        <v>46197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3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21</v>
      </c>
      <c r="R2" s="2" t="inlineStr">
        <is>
          <t>Fläckporing
Garnlav
Gräddporing
Gränsticka
Laxporing
Smalfotad taggsvamp
Blågrå svartspik
Dropptaggsvamp
Dvärgbägarlav
Kolflarnlav
Motaggsvamp
Mörk kolflarnlav
Nordtagging
Talltita
Tretåig hackspett
Vaddporing
Vedflamlav
Vedskivlav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739-2026</t>
        </is>
      </c>
      <c r="B3" s="1" t="n">
        <v>46029</v>
      </c>
      <c r="C3" s="1" t="n">
        <v>46197</v>
      </c>
      <c r="D3" t="inlineStr">
        <is>
          <t>VÄSTERBOTTENS LÄN</t>
        </is>
      </c>
      <c r="E3" t="inlineStr">
        <is>
          <t>VINDELN</t>
        </is>
      </c>
      <c r="G3" t="n">
        <v>17.6</v>
      </c>
      <c r="H3" t="n">
        <v>7</v>
      </c>
      <c r="I3" t="n">
        <v>1</v>
      </c>
      <c r="J3" t="n">
        <v>11</v>
      </c>
      <c r="K3" t="n">
        <v>3</v>
      </c>
      <c r="L3" t="n">
        <v>0</v>
      </c>
      <c r="M3" t="n">
        <v>0</v>
      </c>
      <c r="N3" t="n">
        <v>0</v>
      </c>
      <c r="O3" t="n">
        <v>14</v>
      </c>
      <c r="P3" t="n">
        <v>3</v>
      </c>
      <c r="Q3" t="n">
        <v>20</v>
      </c>
      <c r="R3" s="2" t="inlineStr">
        <is>
          <t>Fläckporing
Garnlav
Grönfink
Dropptaggsvamp
Dvärgbägarlav
Kolflarnlav
Lavskrika
Mörk kolflarnlav
Nordtagging
Talltagel
Tretåig hackspett
Vedflamlav
Vedskivlav
Älg
Norrlandslav
Kransmossa
Tofsmes
Grönsiska
Kungsfågel
Huggorm</t>
        </is>
      </c>
      <c r="S3">
        <f>HYPERLINK("https://klasma.github.io/Logging_2404/artfynd/A 739-2026 artfynd.xlsx", "A 739-2026")</f>
        <v/>
      </c>
      <c r="T3">
        <f>HYPERLINK("https://klasma.github.io/Logging_2404/kartor/A 739-2026 karta.png", "A 739-2026")</f>
        <v/>
      </c>
      <c r="V3">
        <f>HYPERLINK("https://klasma.github.io/Logging_2404/klagomål/A 739-2026 FSC-klagomål.docx", "A 739-2026")</f>
        <v/>
      </c>
      <c r="W3">
        <f>HYPERLINK("https://klasma.github.io/Logging_2404/klagomålsmail/A 739-2026 FSC-klagomål mail.docx", "A 739-2026")</f>
        <v/>
      </c>
      <c r="X3">
        <f>HYPERLINK("https://klasma.github.io/Logging_2404/tillsyn/A 739-2026 tillsynsbegäran.docx", "A 739-2026")</f>
        <v/>
      </c>
      <c r="Y3">
        <f>HYPERLINK("https://klasma.github.io/Logging_2404/tillsynsmail/A 739-2026 tillsynsbegäran mail.docx", "A 739-2026")</f>
        <v/>
      </c>
      <c r="Z3">
        <f>HYPERLINK("https://klasma.github.io/Logging_2404/fåglar/A 739-2026 prioriterade fågelarter.docx", "A 739-2026")</f>
        <v/>
      </c>
    </row>
    <row r="4" ht="15" customHeight="1">
      <c r="A4" t="inlineStr">
        <is>
          <t>A 39867-2025</t>
        </is>
      </c>
      <c r="B4" s="1" t="n">
        <v>45891</v>
      </c>
      <c r="C4" s="1" t="n">
        <v>46197</v>
      </c>
      <c r="D4" t="inlineStr">
        <is>
          <t>VÄSTERBOTTENS LÄN</t>
        </is>
      </c>
      <c r="E4" t="inlineStr">
        <is>
          <t>VINDELN</t>
        </is>
      </c>
      <c r="F4" t="inlineStr">
        <is>
          <t>Naturvårdsverket</t>
        </is>
      </c>
      <c r="G4" t="n">
        <v>38.7</v>
      </c>
      <c r="H4" t="n">
        <v>6</v>
      </c>
      <c r="I4" t="n">
        <v>7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Garnlav
Gräddporing
Knärot
Lunglav
Talltagel
Tretåig hackspett
Vedskivlav
Vitgrynig nållav
Luddlav
Nästlav
Skinnlav
Spindelblomster
Stuplav
Trådticka
Vedticka
Spillkråka
Tjäder
Fläcknycklar</t>
        </is>
      </c>
      <c r="S4">
        <f>HYPERLINK("https://klasma.github.io/Logging_2404/artfynd/A 39867-2025 artfynd.xlsx", "A 39867-2025")</f>
        <v/>
      </c>
      <c r="T4">
        <f>HYPERLINK("https://klasma.github.io/Logging_2404/kartor/A 39867-2025 karta.png", "A 39867-2025")</f>
        <v/>
      </c>
      <c r="U4">
        <f>HYPERLINK("https://klasma.github.io/Logging_2404/knärot/A 39867-2025 karta knärot.png", "A 39867-2025")</f>
        <v/>
      </c>
      <c r="V4">
        <f>HYPERLINK("https://klasma.github.io/Logging_2404/klagomål/A 39867-2025 FSC-klagomål.docx", "A 39867-2025")</f>
        <v/>
      </c>
      <c r="W4">
        <f>HYPERLINK("https://klasma.github.io/Logging_2404/klagomålsmail/A 39867-2025 FSC-klagomål mail.docx", "A 39867-2025")</f>
        <v/>
      </c>
      <c r="X4">
        <f>HYPERLINK("https://klasma.github.io/Logging_2404/tillsyn/A 39867-2025 tillsynsbegäran.docx", "A 39867-2025")</f>
        <v/>
      </c>
      <c r="Y4">
        <f>HYPERLINK("https://klasma.github.io/Logging_2404/tillsynsmail/A 39867-2025 tillsynsbegäran mail.docx", "A 39867-2025")</f>
        <v/>
      </c>
      <c r="Z4">
        <f>HYPERLINK("https://klasma.github.io/Logging_2404/fåglar/A 39867-2025 prioriterade fågelarter.docx", "A 39867-2025")</f>
        <v/>
      </c>
    </row>
    <row r="5" ht="15" customHeight="1">
      <c r="A5" t="inlineStr">
        <is>
          <t>A 49498-2025</t>
        </is>
      </c>
      <c r="B5" s="1" t="n">
        <v>45939</v>
      </c>
      <c r="C5" s="1" t="n">
        <v>46197</v>
      </c>
      <c r="D5" t="inlineStr">
        <is>
          <t>VÄSTERBOTTENS LÄN</t>
        </is>
      </c>
      <c r="E5" t="inlineStr">
        <is>
          <t>VINDELN</t>
        </is>
      </c>
      <c r="G5" t="n">
        <v>14.9</v>
      </c>
      <c r="H5" t="n">
        <v>5</v>
      </c>
      <c r="I5" t="n">
        <v>2</v>
      </c>
      <c r="J5" t="n">
        <v>9</v>
      </c>
      <c r="K5" t="n">
        <v>3</v>
      </c>
      <c r="L5" t="n">
        <v>0</v>
      </c>
      <c r="M5" t="n">
        <v>0</v>
      </c>
      <c r="N5" t="n">
        <v>0</v>
      </c>
      <c r="O5" t="n">
        <v>12</v>
      </c>
      <c r="P5" t="n">
        <v>3</v>
      </c>
      <c r="Q5" t="n">
        <v>17</v>
      </c>
      <c r="R5" s="2" t="inlineStr">
        <is>
          <t>Garnlav
Grönfink
Knärot
Dvärgbägarlav
Kolflarnlav
Lunglav
Mörk kolflarnlav
Nordtagging
Talltagel
Tretåig hackspett
Vedflamlav
Vedskivlav
Norrlandslav
Stuplav
Kransmossa
Grönsiska
Vanlig groda</t>
        </is>
      </c>
      <c r="S5">
        <f>HYPERLINK("https://klasma.github.io/Logging_2404/artfynd/A 49498-2025 artfynd.xlsx", "A 49498-2025")</f>
        <v/>
      </c>
      <c r="T5">
        <f>HYPERLINK("https://klasma.github.io/Logging_2404/kartor/A 49498-2025 karta.png", "A 49498-2025")</f>
        <v/>
      </c>
      <c r="U5">
        <f>HYPERLINK("https://klasma.github.io/Logging_2404/knärot/A 49498-2025 karta knärot.png", "A 49498-2025")</f>
        <v/>
      </c>
      <c r="V5">
        <f>HYPERLINK("https://klasma.github.io/Logging_2404/klagomål/A 49498-2025 FSC-klagomål.docx", "A 49498-2025")</f>
        <v/>
      </c>
      <c r="W5">
        <f>HYPERLINK("https://klasma.github.io/Logging_2404/klagomålsmail/A 49498-2025 FSC-klagomål mail.docx", "A 49498-2025")</f>
        <v/>
      </c>
      <c r="X5">
        <f>HYPERLINK("https://klasma.github.io/Logging_2404/tillsyn/A 49498-2025 tillsynsbegäran.docx", "A 49498-2025")</f>
        <v/>
      </c>
      <c r="Y5">
        <f>HYPERLINK("https://klasma.github.io/Logging_2404/tillsynsmail/A 49498-2025 tillsynsbegäran mail.docx", "A 49498-2025")</f>
        <v/>
      </c>
      <c r="Z5">
        <f>HYPERLINK("https://klasma.github.io/Logging_2404/fåglar/A 49498-2025 prioriterade fågelarter.docx", "A 49498-2025")</f>
        <v/>
      </c>
    </row>
    <row r="6" ht="15" customHeight="1">
      <c r="A6" t="inlineStr">
        <is>
          <t>A 39786-2025</t>
        </is>
      </c>
      <c r="B6" s="1" t="n">
        <v>45891</v>
      </c>
      <c r="C6" s="1" t="n">
        <v>46197</v>
      </c>
      <c r="D6" t="inlineStr">
        <is>
          <t>VÄSTERBOTTENS LÄN</t>
        </is>
      </c>
      <c r="E6" t="inlineStr">
        <is>
          <t>VINDELN</t>
        </is>
      </c>
      <c r="F6" t="inlineStr">
        <is>
          <t>Holmen skog AB</t>
        </is>
      </c>
      <c r="G6" t="n">
        <v>9.699999999999999</v>
      </c>
      <c r="H6" t="n">
        <v>6</v>
      </c>
      <c r="I6" t="n">
        <v>3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15</v>
      </c>
      <c r="R6" s="2" t="inlineStr">
        <is>
          <t>Garnlav
Knärot
Brunpudrad nållav
Gammelgransskål
Rynkskinn
Talltita
Ullticka
Vedflikmossa
Gulnål
Trådticka
Vedticka
Mattlummer
Spillkråka
Kungsfågel
Revlummer</t>
        </is>
      </c>
      <c r="S6">
        <f>HYPERLINK("https://klasma.github.io/Logging_2404/artfynd/A 39786-2025 artfynd.xlsx", "A 39786-2025")</f>
        <v/>
      </c>
      <c r="T6">
        <f>HYPERLINK("https://klasma.github.io/Logging_2404/kartor/A 39786-2025 karta.png", "A 39786-2025")</f>
        <v/>
      </c>
      <c r="U6">
        <f>HYPERLINK("https://klasma.github.io/Logging_2404/knärot/A 39786-2025 karta knärot.png", "A 39786-2025")</f>
        <v/>
      </c>
      <c r="V6">
        <f>HYPERLINK("https://klasma.github.io/Logging_2404/klagomål/A 39786-2025 FSC-klagomål.docx", "A 39786-2025")</f>
        <v/>
      </c>
      <c r="W6">
        <f>HYPERLINK("https://klasma.github.io/Logging_2404/klagomålsmail/A 39786-2025 FSC-klagomål mail.docx", "A 39786-2025")</f>
        <v/>
      </c>
      <c r="X6">
        <f>HYPERLINK("https://klasma.github.io/Logging_2404/tillsyn/A 39786-2025 tillsynsbegäran.docx", "A 39786-2025")</f>
        <v/>
      </c>
      <c r="Y6">
        <f>HYPERLINK("https://klasma.github.io/Logging_2404/tillsynsmail/A 39786-2025 tillsynsbegäran mail.docx", "A 39786-2025")</f>
        <v/>
      </c>
      <c r="Z6">
        <f>HYPERLINK("https://klasma.github.io/Logging_2404/fåglar/A 39786-2025 prioriterade fågelarter.docx", "A 39786-2025")</f>
        <v/>
      </c>
    </row>
    <row r="7" ht="15" customHeight="1">
      <c r="A7" t="inlineStr">
        <is>
          <t>A 35963-2025</t>
        </is>
      </c>
      <c r="B7" s="1" t="n">
        <v>45863</v>
      </c>
      <c r="C7" s="1" t="n">
        <v>46197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13.4</v>
      </c>
      <c r="H7" t="n">
        <v>2</v>
      </c>
      <c r="I7" t="n">
        <v>1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12</v>
      </c>
      <c r="R7" s="2" t="inlineStr">
        <is>
          <t>Garnlav
Smalfotad taggsvamp
Dropptaggsvamp
Kolflarnlav
Mörk kolflarnlav
Oljetagging
Skarp dropptaggsvamp
Talltita
Tretåig hackspett
Vedskivlav
Violettgrå tagellav
Stuplav</t>
        </is>
      </c>
      <c r="S7">
        <f>HYPERLINK("https://klasma.github.io/Logging_2404/artfynd/A 35963-2025 artfynd.xlsx", "A 35963-2025")</f>
        <v/>
      </c>
      <c r="T7">
        <f>HYPERLINK("https://klasma.github.io/Logging_2404/kartor/A 35963-2025 karta.png", "A 35963-2025")</f>
        <v/>
      </c>
      <c r="V7">
        <f>HYPERLINK("https://klasma.github.io/Logging_2404/klagomål/A 35963-2025 FSC-klagomål.docx", "A 35963-2025")</f>
        <v/>
      </c>
      <c r="W7">
        <f>HYPERLINK("https://klasma.github.io/Logging_2404/klagomålsmail/A 35963-2025 FSC-klagomål mail.docx", "A 35963-2025")</f>
        <v/>
      </c>
      <c r="X7">
        <f>HYPERLINK("https://klasma.github.io/Logging_2404/tillsyn/A 35963-2025 tillsynsbegäran.docx", "A 35963-2025")</f>
        <v/>
      </c>
      <c r="Y7">
        <f>HYPERLINK("https://klasma.github.io/Logging_2404/tillsynsmail/A 35963-2025 tillsynsbegäran mail.docx", "A 35963-2025")</f>
        <v/>
      </c>
      <c r="Z7">
        <f>HYPERLINK("https://klasma.github.io/Logging_2404/fåglar/A 35963-2025 prioriterade fågelarter.docx", "A 35963-2025")</f>
        <v/>
      </c>
    </row>
    <row r="8" ht="15" customHeight="1">
      <c r="A8" t="inlineStr">
        <is>
          <t>A 24414-2024</t>
        </is>
      </c>
      <c r="B8" s="1" t="n">
        <v>45457</v>
      </c>
      <c r="C8" s="1" t="n">
        <v>46197</v>
      </c>
      <c r="D8" t="inlineStr">
        <is>
          <t>VÄSTERBOTTENS LÄN</t>
        </is>
      </c>
      <c r="E8" t="inlineStr">
        <is>
          <t>VINDELN</t>
        </is>
      </c>
      <c r="G8" t="n">
        <v>14.2</v>
      </c>
      <c r="H8" t="n">
        <v>5</v>
      </c>
      <c r="I8" t="n">
        <v>2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Garnlav
Knärot
Lunglav
Rosenticka
Tretåig hackspett
Ullticka
Vedtrappmossa
Stuplav
Vedticka
Spillkråka
Fläcknycklar
Revlummer</t>
        </is>
      </c>
      <c r="S8">
        <f>HYPERLINK("https://klasma.github.io/Logging_2404/artfynd/A 24414-2024 artfynd.xlsx", "A 24414-2024")</f>
        <v/>
      </c>
      <c r="T8">
        <f>HYPERLINK("https://klasma.github.io/Logging_2404/kartor/A 24414-2024 karta.png", "A 24414-2024")</f>
        <v/>
      </c>
      <c r="U8">
        <f>HYPERLINK("https://klasma.github.io/Logging_2404/knärot/A 24414-2024 karta knärot.png", "A 24414-2024")</f>
        <v/>
      </c>
      <c r="V8">
        <f>HYPERLINK("https://klasma.github.io/Logging_2404/klagomål/A 24414-2024 FSC-klagomål.docx", "A 24414-2024")</f>
        <v/>
      </c>
      <c r="W8">
        <f>HYPERLINK("https://klasma.github.io/Logging_2404/klagomålsmail/A 24414-2024 FSC-klagomål mail.docx", "A 24414-2024")</f>
        <v/>
      </c>
      <c r="X8">
        <f>HYPERLINK("https://klasma.github.io/Logging_2404/tillsyn/A 24414-2024 tillsynsbegäran.docx", "A 24414-2024")</f>
        <v/>
      </c>
      <c r="Y8">
        <f>HYPERLINK("https://klasma.github.io/Logging_2404/tillsynsmail/A 24414-2024 tillsynsbegäran mail.docx", "A 24414-2024")</f>
        <v/>
      </c>
      <c r="Z8">
        <f>HYPERLINK("https://klasma.github.io/Logging_2404/fåglar/A 24414-2024 prioriterade fågelarter.docx", "A 24414-2024")</f>
        <v/>
      </c>
    </row>
    <row r="9" ht="15" customHeight="1">
      <c r="A9" t="inlineStr">
        <is>
          <t>A 17804-2026</t>
        </is>
      </c>
      <c r="B9" s="1" t="n">
        <v>46122</v>
      </c>
      <c r="C9" s="1" t="n">
        <v>46197</v>
      </c>
      <c r="D9" t="inlineStr">
        <is>
          <t>VÄSTERBOTTENS LÄN</t>
        </is>
      </c>
      <c r="E9" t="inlineStr">
        <is>
          <t>VINDELN</t>
        </is>
      </c>
      <c r="G9" t="n">
        <v>5.7</v>
      </c>
      <c r="H9" t="n">
        <v>1</v>
      </c>
      <c r="I9" t="n">
        <v>1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12</v>
      </c>
      <c r="R9" s="2" t="inlineStr">
        <is>
          <t>Doftticka
Garnlav
Skrovlig taggsvamp
Blanksvart spiklav
Blå taggsvamp
Dropptaggsvamp
Dvärgbägarlav
Gammelgransskål
Kolflarnlav
Mörk kolflarnlav
Vedskivlav
Stuplav</t>
        </is>
      </c>
      <c r="S9">
        <f>HYPERLINK("https://klasma.github.io/Logging_2404/artfynd/A 17804-2026 artfynd.xlsx", "A 17804-2026")</f>
        <v/>
      </c>
      <c r="T9">
        <f>HYPERLINK("https://klasma.github.io/Logging_2404/kartor/A 17804-2026 karta.png", "A 17804-2026")</f>
        <v/>
      </c>
      <c r="V9">
        <f>HYPERLINK("https://klasma.github.io/Logging_2404/klagomål/A 17804-2026 FSC-klagomål.docx", "A 17804-2026")</f>
        <v/>
      </c>
      <c r="W9">
        <f>HYPERLINK("https://klasma.github.io/Logging_2404/klagomålsmail/A 17804-2026 FSC-klagomål mail.docx", "A 17804-2026")</f>
        <v/>
      </c>
      <c r="X9">
        <f>HYPERLINK("https://klasma.github.io/Logging_2404/tillsyn/A 17804-2026 tillsynsbegäran.docx", "A 17804-2026")</f>
        <v/>
      </c>
      <c r="Y9">
        <f>HYPERLINK("https://klasma.github.io/Logging_2404/tillsynsmail/A 17804-2026 tillsynsbegäran mail.docx", "A 17804-2026")</f>
        <v/>
      </c>
    </row>
    <row r="10" ht="15" customHeight="1">
      <c r="A10" t="inlineStr">
        <is>
          <t>A 33295-2022</t>
        </is>
      </c>
      <c r="B10" s="1" t="n">
        <v>44788</v>
      </c>
      <c r="C10" s="1" t="n">
        <v>46197</v>
      </c>
      <c r="D10" t="inlineStr">
        <is>
          <t>VÄSTERBOTTENS LÄN</t>
        </is>
      </c>
      <c r="E10" t="inlineStr">
        <is>
          <t>VINDELN</t>
        </is>
      </c>
      <c r="F10" t="inlineStr">
        <is>
          <t>Holmen skog AB</t>
        </is>
      </c>
      <c r="G10" t="n">
        <v>12.7</v>
      </c>
      <c r="H10" t="n">
        <v>0</v>
      </c>
      <c r="I10" t="n">
        <v>0</v>
      </c>
      <c r="J10" t="n">
        <v>7</v>
      </c>
      <c r="K10" t="n">
        <v>5</v>
      </c>
      <c r="L10" t="n">
        <v>0</v>
      </c>
      <c r="M10" t="n">
        <v>0</v>
      </c>
      <c r="N10" t="n">
        <v>0</v>
      </c>
      <c r="O10" t="n">
        <v>12</v>
      </c>
      <c r="P10" t="n">
        <v>5</v>
      </c>
      <c r="Q10" t="n">
        <v>12</v>
      </c>
      <c r="R10" s="2" t="inlineStr">
        <is>
          <t>Fläckporing
Goliatmusseron
Gräddporing
Skrovlig taggsvamp
Smalfotad taggsvamp
Blanksvart spiklav
Blå taggsvamp
Blågrå svartspik
Nordtagging
Orange taggsvamp
Talltaggsvamp
Vaddporing</t>
        </is>
      </c>
      <c r="S10">
        <f>HYPERLINK("https://klasma.github.io/Logging_2404/artfynd/A 33295-2022 artfynd.xlsx", "A 33295-2022")</f>
        <v/>
      </c>
      <c r="T10">
        <f>HYPERLINK("https://klasma.github.io/Logging_2404/kartor/A 33295-2022 karta.png", "A 33295-2022")</f>
        <v/>
      </c>
      <c r="V10">
        <f>HYPERLINK("https://klasma.github.io/Logging_2404/klagomål/A 33295-2022 FSC-klagomål.docx", "A 33295-2022")</f>
        <v/>
      </c>
      <c r="W10">
        <f>HYPERLINK("https://klasma.github.io/Logging_2404/klagomålsmail/A 33295-2022 FSC-klagomål mail.docx", "A 33295-2022")</f>
        <v/>
      </c>
      <c r="X10">
        <f>HYPERLINK("https://klasma.github.io/Logging_2404/tillsyn/A 33295-2022 tillsynsbegäran.docx", "A 33295-2022")</f>
        <v/>
      </c>
      <c r="Y10">
        <f>HYPERLINK("https://klasma.github.io/Logging_2404/tillsynsmail/A 33295-2022 tillsynsbegäran mail.docx", "A 33295-2022")</f>
        <v/>
      </c>
    </row>
    <row r="11" ht="15" customHeight="1">
      <c r="A11" t="inlineStr">
        <is>
          <t>A 65389-2021</t>
        </is>
      </c>
      <c r="B11" s="1" t="n">
        <v>44515</v>
      </c>
      <c r="C11" s="1" t="n">
        <v>46197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3.3</v>
      </c>
      <c r="H11" t="n">
        <v>1</v>
      </c>
      <c r="I11" t="n">
        <v>0</v>
      </c>
      <c r="J11" t="n">
        <v>10</v>
      </c>
      <c r="K11" t="n">
        <v>0</v>
      </c>
      <c r="L11" t="n">
        <v>0</v>
      </c>
      <c r="M11" t="n">
        <v>0</v>
      </c>
      <c r="N11" t="n">
        <v>0</v>
      </c>
      <c r="O11" t="n">
        <v>10</v>
      </c>
      <c r="P11" t="n">
        <v>0</v>
      </c>
      <c r="Q11" t="n">
        <v>10</v>
      </c>
      <c r="R11" s="2" t="inlineStr">
        <is>
          <t>Dropptaggsvamp
Dvärgbägarlav
Kolflarnlav
Motaggsvamp
Mörk kolflarnlav
Reliktbock
Talltaggsvamp
Talltita
Vaddporing
Vedskivlav</t>
        </is>
      </c>
      <c r="S11">
        <f>HYPERLINK("https://klasma.github.io/Logging_2404/artfynd/A 65389-2021 artfynd.xlsx", "A 65389-2021")</f>
        <v/>
      </c>
      <c r="T11">
        <f>HYPERLINK("https://klasma.github.io/Logging_2404/kartor/A 65389-2021 karta.png", "A 65389-2021")</f>
        <v/>
      </c>
      <c r="V11">
        <f>HYPERLINK("https://klasma.github.io/Logging_2404/klagomål/A 65389-2021 FSC-klagomål.docx", "A 65389-2021")</f>
        <v/>
      </c>
      <c r="W11">
        <f>HYPERLINK("https://klasma.github.io/Logging_2404/klagomålsmail/A 65389-2021 FSC-klagomål mail.docx", "A 65389-2021")</f>
        <v/>
      </c>
      <c r="X11">
        <f>HYPERLINK("https://klasma.github.io/Logging_2404/tillsyn/A 65389-2021 tillsynsbegäran.docx", "A 65389-2021")</f>
        <v/>
      </c>
      <c r="Y11">
        <f>HYPERLINK("https://klasma.github.io/Logging_2404/tillsynsmail/A 65389-2021 tillsynsbegäran mail.docx", "A 65389-2021")</f>
        <v/>
      </c>
      <c r="Z11">
        <f>HYPERLINK("https://klasma.github.io/Logging_2404/fåglar/A 65389-2021 prioriterade fågelarter.docx", "A 65389-2021")</f>
        <v/>
      </c>
    </row>
    <row r="12" ht="15" customHeight="1">
      <c r="A12" t="inlineStr">
        <is>
          <t>A 10862-2023</t>
        </is>
      </c>
      <c r="B12" s="1" t="n">
        <v>44991</v>
      </c>
      <c r="C12" s="1" t="n">
        <v>46197</v>
      </c>
      <c r="D12" t="inlineStr">
        <is>
          <t>VÄSTERBOTTENS LÄN</t>
        </is>
      </c>
      <c r="E12" t="inlineStr">
        <is>
          <t>VINDELN</t>
        </is>
      </c>
      <c r="G12" t="n">
        <v>26</v>
      </c>
      <c r="H12" t="n">
        <v>1</v>
      </c>
      <c r="I12" t="n">
        <v>0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10</v>
      </c>
      <c r="R12" s="2" t="inlineStr">
        <is>
          <t>Goliatmusseron
Skrovlig taggsvamp
Smalfotad taggsvamp
Dropptaggsvamp
Gammelgransskål
Motaggsvamp
Nordtagging
Skarp dropptaggsvamp
Vaddporing
Järpe</t>
        </is>
      </c>
      <c r="S12">
        <f>HYPERLINK("https://klasma.github.io/Logging_2404/artfynd/A 10862-2023 artfynd.xlsx", "A 10862-2023")</f>
        <v/>
      </c>
      <c r="T12">
        <f>HYPERLINK("https://klasma.github.io/Logging_2404/kartor/A 10862-2023 karta.png", "A 10862-2023")</f>
        <v/>
      </c>
      <c r="V12">
        <f>HYPERLINK("https://klasma.github.io/Logging_2404/klagomål/A 10862-2023 FSC-klagomål.docx", "A 10862-2023")</f>
        <v/>
      </c>
      <c r="W12">
        <f>HYPERLINK("https://klasma.github.io/Logging_2404/klagomålsmail/A 10862-2023 FSC-klagomål mail.docx", "A 10862-2023")</f>
        <v/>
      </c>
      <c r="X12">
        <f>HYPERLINK("https://klasma.github.io/Logging_2404/tillsyn/A 10862-2023 tillsynsbegäran.docx", "A 10862-2023")</f>
        <v/>
      </c>
      <c r="Y12">
        <f>HYPERLINK("https://klasma.github.io/Logging_2404/tillsynsmail/A 10862-2023 tillsynsbegäran mail.docx", "A 10862-2023")</f>
        <v/>
      </c>
      <c r="Z12">
        <f>HYPERLINK("https://klasma.github.io/Logging_2404/fåglar/A 10862-2023 prioriterade fågelarter.docx", "A 10862-2023")</f>
        <v/>
      </c>
    </row>
    <row r="13" ht="15" customHeight="1">
      <c r="A13" t="inlineStr">
        <is>
          <t>A 28716-2024</t>
        </is>
      </c>
      <c r="B13" s="1" t="n">
        <v>45478</v>
      </c>
      <c r="C13" s="1" t="n">
        <v>46197</v>
      </c>
      <c r="D13" t="inlineStr">
        <is>
          <t>VÄSTERBOTTENS LÄN</t>
        </is>
      </c>
      <c r="E13" t="inlineStr">
        <is>
          <t>VINDELN</t>
        </is>
      </c>
      <c r="F13" t="inlineStr">
        <is>
          <t>Holmen skog AB</t>
        </is>
      </c>
      <c r="G13" t="n">
        <v>3.6</v>
      </c>
      <c r="H13" t="n">
        <v>6</v>
      </c>
      <c r="I13" t="n">
        <v>2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10</v>
      </c>
      <c r="R13" s="2" t="inlineStr">
        <is>
          <t>Garnlav
Knärot
Lunglav
Talltita
Tretåig hackspett
Bårdlav
Stuplav
Spillkråka
Kungsfågel
Fläcknycklar</t>
        </is>
      </c>
      <c r="S13">
        <f>HYPERLINK("https://klasma.github.io/Logging_2404/artfynd/A 28716-2024 artfynd.xlsx", "A 28716-2024")</f>
        <v/>
      </c>
      <c r="T13">
        <f>HYPERLINK("https://klasma.github.io/Logging_2404/kartor/A 28716-2024 karta.png", "A 28716-2024")</f>
        <v/>
      </c>
      <c r="U13">
        <f>HYPERLINK("https://klasma.github.io/Logging_2404/knärot/A 28716-2024 karta knärot.png", "A 28716-2024")</f>
        <v/>
      </c>
      <c r="V13">
        <f>HYPERLINK("https://klasma.github.io/Logging_2404/klagomål/A 28716-2024 FSC-klagomål.docx", "A 28716-2024")</f>
        <v/>
      </c>
      <c r="W13">
        <f>HYPERLINK("https://klasma.github.io/Logging_2404/klagomålsmail/A 28716-2024 FSC-klagomål mail.docx", "A 28716-2024")</f>
        <v/>
      </c>
      <c r="X13">
        <f>HYPERLINK("https://klasma.github.io/Logging_2404/tillsyn/A 28716-2024 tillsynsbegäran.docx", "A 28716-2024")</f>
        <v/>
      </c>
      <c r="Y13">
        <f>HYPERLINK("https://klasma.github.io/Logging_2404/tillsynsmail/A 28716-2024 tillsynsbegäran mail.docx", "A 28716-2024")</f>
        <v/>
      </c>
      <c r="Z13">
        <f>HYPERLINK("https://klasma.github.io/Logging_2404/fåglar/A 28716-2024 prioriterade fågelarter.docx", "A 28716-2024")</f>
        <v/>
      </c>
    </row>
    <row r="14" ht="15" customHeight="1">
      <c r="A14" t="inlineStr">
        <is>
          <t>A 69626-2021</t>
        </is>
      </c>
      <c r="B14" s="1" t="n">
        <v>44532</v>
      </c>
      <c r="C14" s="1" t="n">
        <v>46197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4.6</v>
      </c>
      <c r="H14" t="n">
        <v>3</v>
      </c>
      <c r="I14" t="n">
        <v>0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9</v>
      </c>
      <c r="R14" s="2" t="inlineStr">
        <is>
          <t>Garnlav
Gränsticka
Harticka
Lavskrika
Rosenticka
Rynkskinn
Tretåig hackspett
Ullticka
Järpe</t>
        </is>
      </c>
      <c r="S14">
        <f>HYPERLINK("https://klasma.github.io/Logging_2404/artfynd/A 69626-2021 artfynd.xlsx", "A 69626-2021")</f>
        <v/>
      </c>
      <c r="T14">
        <f>HYPERLINK("https://klasma.github.io/Logging_2404/kartor/A 69626-2021 karta.png", "A 69626-2021")</f>
        <v/>
      </c>
      <c r="V14">
        <f>HYPERLINK("https://klasma.github.io/Logging_2404/klagomål/A 69626-2021 FSC-klagomål.docx", "A 69626-2021")</f>
        <v/>
      </c>
      <c r="W14">
        <f>HYPERLINK("https://klasma.github.io/Logging_2404/klagomålsmail/A 69626-2021 FSC-klagomål mail.docx", "A 69626-2021")</f>
        <v/>
      </c>
      <c r="X14">
        <f>HYPERLINK("https://klasma.github.io/Logging_2404/tillsyn/A 69626-2021 tillsynsbegäran.docx", "A 69626-2021")</f>
        <v/>
      </c>
      <c r="Y14">
        <f>HYPERLINK("https://klasma.github.io/Logging_2404/tillsynsmail/A 69626-2021 tillsynsbegäran mail.docx", "A 69626-2021")</f>
        <v/>
      </c>
      <c r="Z14">
        <f>HYPERLINK("https://klasma.github.io/Logging_2404/fåglar/A 69626-2021 prioriterade fågelarter.docx", "A 69626-2021")</f>
        <v/>
      </c>
    </row>
    <row r="15" ht="15" customHeight="1">
      <c r="A15" t="inlineStr">
        <is>
          <t>A 32223-2024</t>
        </is>
      </c>
      <c r="B15" s="1" t="n">
        <v>45511</v>
      </c>
      <c r="C15" s="1" t="n">
        <v>46197</v>
      </c>
      <c r="D15" t="inlineStr">
        <is>
          <t>VÄSTERBOTTENS LÄN</t>
        </is>
      </c>
      <c r="E15" t="inlineStr">
        <is>
          <t>VINDELN</t>
        </is>
      </c>
      <c r="G15" t="n">
        <v>15.9</v>
      </c>
      <c r="H15" t="n">
        <v>1</v>
      </c>
      <c r="I15" t="n">
        <v>2</v>
      </c>
      <c r="J15" t="n">
        <v>4</v>
      </c>
      <c r="K15" t="n">
        <v>3</v>
      </c>
      <c r="L15" t="n">
        <v>0</v>
      </c>
      <c r="M15" t="n">
        <v>0</v>
      </c>
      <c r="N15" t="n">
        <v>0</v>
      </c>
      <c r="O15" t="n">
        <v>7</v>
      </c>
      <c r="P15" t="n">
        <v>3</v>
      </c>
      <c r="Q15" t="n">
        <v>9</v>
      </c>
      <c r="R15" s="2" t="inlineStr">
        <is>
          <t>Garnlav
Skrovlig taggsvamp
Smalfotad taggsvamp
Blå taggsvamp
Dropptaggsvamp
Skarp dropptaggsvamp
Svartvit taggsvamp
Plattlummer
Vedticka</t>
        </is>
      </c>
      <c r="S15">
        <f>HYPERLINK("https://klasma.github.io/Logging_2404/artfynd/A 32223-2024 artfynd.xlsx", "A 32223-2024")</f>
        <v/>
      </c>
      <c r="T15">
        <f>HYPERLINK("https://klasma.github.io/Logging_2404/kartor/A 32223-2024 karta.png", "A 32223-2024")</f>
        <v/>
      </c>
      <c r="V15">
        <f>HYPERLINK("https://klasma.github.io/Logging_2404/klagomål/A 32223-2024 FSC-klagomål.docx", "A 32223-2024")</f>
        <v/>
      </c>
      <c r="W15">
        <f>HYPERLINK("https://klasma.github.io/Logging_2404/klagomålsmail/A 32223-2024 FSC-klagomål mail.docx", "A 32223-2024")</f>
        <v/>
      </c>
      <c r="X15">
        <f>HYPERLINK("https://klasma.github.io/Logging_2404/tillsyn/A 32223-2024 tillsynsbegäran.docx", "A 32223-2024")</f>
        <v/>
      </c>
      <c r="Y15">
        <f>HYPERLINK("https://klasma.github.io/Logging_2404/tillsynsmail/A 32223-2024 tillsynsbegäran mail.docx", "A 32223-2024")</f>
        <v/>
      </c>
    </row>
    <row r="16" ht="15" customHeight="1">
      <c r="A16" t="inlineStr">
        <is>
          <t>A 43261-2021</t>
        </is>
      </c>
      <c r="B16" s="1" t="n">
        <v>44432</v>
      </c>
      <c r="C16" s="1" t="n">
        <v>46197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10.3</v>
      </c>
      <c r="H16" t="n">
        <v>3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Garnlav
Kolflarnlav
Lavskrika
Tretåig hackspett
Vedskivlav
Violettgrå tagellav
Bronshjon
Gråspett</t>
        </is>
      </c>
      <c r="S16">
        <f>HYPERLINK("https://klasma.github.io/Logging_2404/artfynd/A 43261-2021 artfynd.xlsx", "A 43261-2021")</f>
        <v/>
      </c>
      <c r="T16">
        <f>HYPERLINK("https://klasma.github.io/Logging_2404/kartor/A 43261-2021 karta.png", "A 43261-2021")</f>
        <v/>
      </c>
      <c r="V16">
        <f>HYPERLINK("https://klasma.github.io/Logging_2404/klagomål/A 43261-2021 FSC-klagomål.docx", "A 43261-2021")</f>
        <v/>
      </c>
      <c r="W16">
        <f>HYPERLINK("https://klasma.github.io/Logging_2404/klagomålsmail/A 43261-2021 FSC-klagomål mail.docx", "A 43261-2021")</f>
        <v/>
      </c>
      <c r="X16">
        <f>HYPERLINK("https://klasma.github.io/Logging_2404/tillsyn/A 43261-2021 tillsynsbegäran.docx", "A 43261-2021")</f>
        <v/>
      </c>
      <c r="Y16">
        <f>HYPERLINK("https://klasma.github.io/Logging_2404/tillsynsmail/A 43261-2021 tillsynsbegäran mail.docx", "A 43261-2021")</f>
        <v/>
      </c>
      <c r="Z16">
        <f>HYPERLINK("https://klasma.github.io/Logging_2404/fåglar/A 43261-2021 prioriterade fågelarter.docx", "A 43261-2021")</f>
        <v/>
      </c>
    </row>
    <row r="17" ht="15" customHeight="1">
      <c r="A17" t="inlineStr">
        <is>
          <t>A 52101-2021</t>
        </is>
      </c>
      <c r="B17" s="1" t="n">
        <v>44463</v>
      </c>
      <c r="C17" s="1" t="n">
        <v>46197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12.9</v>
      </c>
      <c r="H17" t="n">
        <v>0</v>
      </c>
      <c r="I17" t="n">
        <v>0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8</v>
      </c>
      <c r="R17" s="2" t="inlineStr">
        <is>
          <t>Goliatmusseron
Skrovlig taggsvamp
Blå taggsvamp
Dropptaggsvamp
Mjölsvärting
Orange taggsvamp
Talltagel
Vaddporing</t>
        </is>
      </c>
      <c r="S17">
        <f>HYPERLINK("https://klasma.github.io/Logging_2404/artfynd/A 52101-2021 artfynd.xlsx", "A 52101-2021")</f>
        <v/>
      </c>
      <c r="T17">
        <f>HYPERLINK("https://klasma.github.io/Logging_2404/kartor/A 52101-2021 karta.png", "A 52101-2021")</f>
        <v/>
      </c>
      <c r="V17">
        <f>HYPERLINK("https://klasma.github.io/Logging_2404/klagomål/A 52101-2021 FSC-klagomål.docx", "A 52101-2021")</f>
        <v/>
      </c>
      <c r="W17">
        <f>HYPERLINK("https://klasma.github.io/Logging_2404/klagomålsmail/A 52101-2021 FSC-klagomål mail.docx", "A 52101-2021")</f>
        <v/>
      </c>
      <c r="X17">
        <f>HYPERLINK("https://klasma.github.io/Logging_2404/tillsyn/A 52101-2021 tillsynsbegäran.docx", "A 52101-2021")</f>
        <v/>
      </c>
      <c r="Y17">
        <f>HYPERLINK("https://klasma.github.io/Logging_2404/tillsynsmail/A 52101-2021 tillsynsbegäran mail.docx", "A 52101-2021")</f>
        <v/>
      </c>
    </row>
    <row r="18" ht="15" customHeight="1">
      <c r="A18" t="inlineStr">
        <is>
          <t>A 25279-2026</t>
        </is>
      </c>
      <c r="B18" s="1" t="n">
        <v>46176</v>
      </c>
      <c r="C18" s="1" t="n">
        <v>46197</v>
      </c>
      <c r="D18" t="inlineStr">
        <is>
          <t>VÄSTERBOTTENS LÄN</t>
        </is>
      </c>
      <c r="E18" t="inlineStr">
        <is>
          <t>VINDELN</t>
        </is>
      </c>
      <c r="G18" t="n">
        <v>7.4</v>
      </c>
      <c r="H18" t="n">
        <v>2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8</v>
      </c>
      <c r="R18" s="2" t="inlineStr">
        <is>
          <t>Garnlav
Lunglav
Rosenticka
Rynkskinn
Tretåig hackspett
Ullticka
Skinnlav
Spillkråka</t>
        </is>
      </c>
      <c r="S18">
        <f>HYPERLINK("https://klasma.github.io/Logging_2404/artfynd/A 25279-2026 artfynd.xlsx", "A 25279-2026")</f>
        <v/>
      </c>
      <c r="T18">
        <f>HYPERLINK("https://klasma.github.io/Logging_2404/kartor/A 25279-2026 karta.png", "A 25279-2026")</f>
        <v/>
      </c>
      <c r="V18">
        <f>HYPERLINK("https://klasma.github.io/Logging_2404/klagomål/A 25279-2026 FSC-klagomål.docx", "A 25279-2026")</f>
        <v/>
      </c>
      <c r="W18">
        <f>HYPERLINK("https://klasma.github.io/Logging_2404/klagomålsmail/A 25279-2026 FSC-klagomål mail.docx", "A 25279-2026")</f>
        <v/>
      </c>
      <c r="X18">
        <f>HYPERLINK("https://klasma.github.io/Logging_2404/tillsyn/A 25279-2026 tillsynsbegäran.docx", "A 25279-2026")</f>
        <v/>
      </c>
      <c r="Y18">
        <f>HYPERLINK("https://klasma.github.io/Logging_2404/tillsynsmail/A 25279-2026 tillsynsbegäran mail.docx", "A 25279-2026")</f>
        <v/>
      </c>
      <c r="Z18">
        <f>HYPERLINK("https://klasma.github.io/Logging_2404/fåglar/A 25279-2026 prioriterade fågelarter.docx", "A 25279-2026")</f>
        <v/>
      </c>
    </row>
    <row r="19" ht="15" customHeight="1">
      <c r="A19" t="inlineStr">
        <is>
          <t>A 31524-2024</t>
        </is>
      </c>
      <c r="B19" s="1" t="n">
        <v>45505</v>
      </c>
      <c r="C19" s="1" t="n">
        <v>46197</v>
      </c>
      <c r="D19" t="inlineStr">
        <is>
          <t>VÄSTERBOTTENS LÄN</t>
        </is>
      </c>
      <c r="E19" t="inlineStr">
        <is>
          <t>VINDELN</t>
        </is>
      </c>
      <c r="F19" t="inlineStr">
        <is>
          <t>SCA</t>
        </is>
      </c>
      <c r="G19" t="n">
        <v>2.6</v>
      </c>
      <c r="H19" t="n">
        <v>0</v>
      </c>
      <c r="I19" t="n">
        <v>3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8</v>
      </c>
      <c r="R19" s="2" t="inlineStr">
        <is>
          <t>Garnlav
Skrovlig taggsvamp
Dropptaggsvamp
Skarp dropptaggsvamp
Ullticka
Norrlandslav
Skinnlav
Stuplav</t>
        </is>
      </c>
      <c r="S19">
        <f>HYPERLINK("https://klasma.github.io/Logging_2404/artfynd/A 31524-2024 artfynd.xlsx", "A 31524-2024")</f>
        <v/>
      </c>
      <c r="T19">
        <f>HYPERLINK("https://klasma.github.io/Logging_2404/kartor/A 31524-2024 karta.png", "A 31524-2024")</f>
        <v/>
      </c>
      <c r="V19">
        <f>HYPERLINK("https://klasma.github.io/Logging_2404/klagomål/A 31524-2024 FSC-klagomål.docx", "A 31524-2024")</f>
        <v/>
      </c>
      <c r="W19">
        <f>HYPERLINK("https://klasma.github.io/Logging_2404/klagomålsmail/A 31524-2024 FSC-klagomål mail.docx", "A 31524-2024")</f>
        <v/>
      </c>
      <c r="X19">
        <f>HYPERLINK("https://klasma.github.io/Logging_2404/tillsyn/A 31524-2024 tillsynsbegäran.docx", "A 31524-2024")</f>
        <v/>
      </c>
      <c r="Y19">
        <f>HYPERLINK("https://klasma.github.io/Logging_2404/tillsynsmail/A 31524-2024 tillsynsbegäran mail.docx", "A 31524-2024")</f>
        <v/>
      </c>
    </row>
    <row r="20" ht="15" customHeight="1">
      <c r="A20" t="inlineStr">
        <is>
          <t>A 22371-2025</t>
        </is>
      </c>
      <c r="B20" s="1" t="n">
        <v>45786</v>
      </c>
      <c r="C20" s="1" t="n">
        <v>46197</v>
      </c>
      <c r="D20" t="inlineStr">
        <is>
          <t>VÄSTERBOTTENS LÄN</t>
        </is>
      </c>
      <c r="E20" t="inlineStr">
        <is>
          <t>VINDELN</t>
        </is>
      </c>
      <c r="F20" t="inlineStr">
        <is>
          <t>Holmen skog AB</t>
        </is>
      </c>
      <c r="G20" t="n">
        <v>8.300000000000001</v>
      </c>
      <c r="H20" t="n">
        <v>0</v>
      </c>
      <c r="I20" t="n">
        <v>1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8</v>
      </c>
      <c r="R20" s="2" t="inlineStr">
        <is>
          <t>Blanksvart spiklav
Blågrå svartspik
Kolflarnlav
Nordtagging
Reliktbock
Vedflamlav
Vedskivlav
Mindre märgborre</t>
        </is>
      </c>
      <c r="S20">
        <f>HYPERLINK("https://klasma.github.io/Logging_2404/artfynd/A 22371-2025 artfynd.xlsx", "A 22371-2025")</f>
        <v/>
      </c>
      <c r="T20">
        <f>HYPERLINK("https://klasma.github.io/Logging_2404/kartor/A 22371-2025 karta.png", "A 22371-2025")</f>
        <v/>
      </c>
      <c r="V20">
        <f>HYPERLINK("https://klasma.github.io/Logging_2404/klagomål/A 22371-2025 FSC-klagomål.docx", "A 22371-2025")</f>
        <v/>
      </c>
      <c r="W20">
        <f>HYPERLINK("https://klasma.github.io/Logging_2404/klagomålsmail/A 22371-2025 FSC-klagomål mail.docx", "A 22371-2025")</f>
        <v/>
      </c>
      <c r="X20">
        <f>HYPERLINK("https://klasma.github.io/Logging_2404/tillsyn/A 22371-2025 tillsynsbegäran.docx", "A 22371-2025")</f>
        <v/>
      </c>
      <c r="Y20">
        <f>HYPERLINK("https://klasma.github.io/Logging_2404/tillsynsmail/A 22371-2025 tillsynsbegäran mail.docx", "A 22371-2025")</f>
        <v/>
      </c>
    </row>
    <row r="21" ht="15" customHeight="1">
      <c r="A21" t="inlineStr">
        <is>
          <t>A 53097-2024</t>
        </is>
      </c>
      <c r="B21" s="1" t="n">
        <v>45611</v>
      </c>
      <c r="C21" s="1" t="n">
        <v>46197</v>
      </c>
      <c r="D21" t="inlineStr">
        <is>
          <t>VÄSTERBOTTENS LÄN</t>
        </is>
      </c>
      <c r="E21" t="inlineStr">
        <is>
          <t>VINDELN</t>
        </is>
      </c>
      <c r="F21" t="inlineStr">
        <is>
          <t>SCA</t>
        </is>
      </c>
      <c r="G21" t="n">
        <v>6.6</v>
      </c>
      <c r="H21" t="n">
        <v>0</v>
      </c>
      <c r="I21" t="n">
        <v>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Lunglav
Barkticka
Bårdlav
Luddlav
Myskbock
Stekelbock
Stuplav</t>
        </is>
      </c>
      <c r="S21">
        <f>HYPERLINK("https://klasma.github.io/Logging_2404/artfynd/A 53097-2024 artfynd.xlsx", "A 53097-2024")</f>
        <v/>
      </c>
      <c r="T21">
        <f>HYPERLINK("https://klasma.github.io/Logging_2404/kartor/A 53097-2024 karta.png", "A 53097-2024")</f>
        <v/>
      </c>
      <c r="V21">
        <f>HYPERLINK("https://klasma.github.io/Logging_2404/klagomål/A 53097-2024 FSC-klagomål.docx", "A 53097-2024")</f>
        <v/>
      </c>
      <c r="W21">
        <f>HYPERLINK("https://klasma.github.io/Logging_2404/klagomålsmail/A 53097-2024 FSC-klagomål mail.docx", "A 53097-2024")</f>
        <v/>
      </c>
      <c r="X21">
        <f>HYPERLINK("https://klasma.github.io/Logging_2404/tillsyn/A 53097-2024 tillsynsbegäran.docx", "A 53097-2024")</f>
        <v/>
      </c>
      <c r="Y21">
        <f>HYPERLINK("https://klasma.github.io/Logging_2404/tillsynsmail/A 53097-2024 tillsynsbegäran mail.docx", "A 53097-2024")</f>
        <v/>
      </c>
    </row>
    <row r="22" ht="15" customHeight="1">
      <c r="A22" t="inlineStr">
        <is>
          <t>A 28826-2024</t>
        </is>
      </c>
      <c r="B22" s="1" t="n">
        <v>45478</v>
      </c>
      <c r="C22" s="1" t="n">
        <v>46197</v>
      </c>
      <c r="D22" t="inlineStr">
        <is>
          <t>VÄSTERBOTTENS LÄN</t>
        </is>
      </c>
      <c r="E22" t="inlineStr">
        <is>
          <t>VINDELN</t>
        </is>
      </c>
      <c r="F22" t="inlineStr">
        <is>
          <t>Holmen skog AB</t>
        </is>
      </c>
      <c r="G22" t="n">
        <v>4</v>
      </c>
      <c r="H22" t="n">
        <v>4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7</v>
      </c>
      <c r="R22" s="2" t="inlineStr">
        <is>
          <t>Garnlav
Knärot
Tretåig hackspett
Stuplav
Vedticka
Spillkråka
Fläcknycklar</t>
        </is>
      </c>
      <c r="S22">
        <f>HYPERLINK("https://klasma.github.io/Logging_2404/artfynd/A 28826-2024 artfynd.xlsx", "A 28826-2024")</f>
        <v/>
      </c>
      <c r="T22">
        <f>HYPERLINK("https://klasma.github.io/Logging_2404/kartor/A 28826-2024 karta.png", "A 28826-2024")</f>
        <v/>
      </c>
      <c r="U22">
        <f>HYPERLINK("https://klasma.github.io/Logging_2404/knärot/A 28826-2024 karta knärot.png", "A 28826-2024")</f>
        <v/>
      </c>
      <c r="V22">
        <f>HYPERLINK("https://klasma.github.io/Logging_2404/klagomål/A 28826-2024 FSC-klagomål.docx", "A 28826-2024")</f>
        <v/>
      </c>
      <c r="W22">
        <f>HYPERLINK("https://klasma.github.io/Logging_2404/klagomålsmail/A 28826-2024 FSC-klagomål mail.docx", "A 28826-2024")</f>
        <v/>
      </c>
      <c r="X22">
        <f>HYPERLINK("https://klasma.github.io/Logging_2404/tillsyn/A 28826-2024 tillsynsbegäran.docx", "A 28826-2024")</f>
        <v/>
      </c>
      <c r="Y22">
        <f>HYPERLINK("https://klasma.github.io/Logging_2404/tillsynsmail/A 28826-2024 tillsynsbegäran mail.docx", "A 28826-2024")</f>
        <v/>
      </c>
      <c r="Z22">
        <f>HYPERLINK("https://klasma.github.io/Logging_2404/fåglar/A 28826-2024 prioriterade fågelarter.docx", "A 28826-2024")</f>
        <v/>
      </c>
    </row>
    <row r="23" ht="15" customHeight="1">
      <c r="A23" t="inlineStr">
        <is>
          <t>A 27521-2026</t>
        </is>
      </c>
      <c r="B23" s="1" t="n">
        <v>46189</v>
      </c>
      <c r="C23" s="1" t="n">
        <v>46197</v>
      </c>
      <c r="D23" t="inlineStr">
        <is>
          <t>VÄSTERBOTTENS LÄN</t>
        </is>
      </c>
      <c r="E23" t="inlineStr">
        <is>
          <t>VINDELN</t>
        </is>
      </c>
      <c r="G23" t="n">
        <v>17.3</v>
      </c>
      <c r="H23" t="n">
        <v>4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7</v>
      </c>
      <c r="R23" s="2" t="inlineStr">
        <is>
          <t>Garnlav
Harticka
Lavskrika
Tretåig hackspett
Vitgrynig nållav
Järpe
Spillkråka</t>
        </is>
      </c>
      <c r="S23">
        <f>HYPERLINK("https://klasma.github.io/Logging_2404/artfynd/A 27521-2026 artfynd.xlsx", "A 27521-2026")</f>
        <v/>
      </c>
      <c r="T23">
        <f>HYPERLINK("https://klasma.github.io/Logging_2404/kartor/A 27521-2026 karta.png", "A 27521-2026")</f>
        <v/>
      </c>
      <c r="V23">
        <f>HYPERLINK("https://klasma.github.io/Logging_2404/klagomål/A 27521-2026 FSC-klagomål.docx", "A 27521-2026")</f>
        <v/>
      </c>
      <c r="W23">
        <f>HYPERLINK("https://klasma.github.io/Logging_2404/klagomålsmail/A 27521-2026 FSC-klagomål mail.docx", "A 27521-2026")</f>
        <v/>
      </c>
      <c r="X23">
        <f>HYPERLINK("https://klasma.github.io/Logging_2404/tillsyn/A 27521-2026 tillsynsbegäran.docx", "A 27521-2026")</f>
        <v/>
      </c>
      <c r="Y23">
        <f>HYPERLINK("https://klasma.github.io/Logging_2404/tillsynsmail/A 27521-2026 tillsynsbegäran mail.docx", "A 27521-2026")</f>
        <v/>
      </c>
      <c r="Z23">
        <f>HYPERLINK("https://klasma.github.io/Logging_2404/fåglar/A 27521-2026 prioriterade fågelarter.docx", "A 27521-2026")</f>
        <v/>
      </c>
    </row>
    <row r="24" ht="15" customHeight="1">
      <c r="A24" t="inlineStr">
        <is>
          <t>A 45267-2021</t>
        </is>
      </c>
      <c r="B24" s="1" t="n">
        <v>44439</v>
      </c>
      <c r="C24" s="1" t="n">
        <v>46197</v>
      </c>
      <c r="D24" t="inlineStr">
        <is>
          <t>VÄSTERBOTTENS LÄN</t>
        </is>
      </c>
      <c r="E24" t="inlineStr">
        <is>
          <t>VINDELN</t>
        </is>
      </c>
      <c r="G24" t="n">
        <v>1.9</v>
      </c>
      <c r="H24" t="n">
        <v>4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Fjällig taggsvamp s.str.
Mörk husmossa
Blåsippa
Spillkråka
Kungsfågel
Revlummer</t>
        </is>
      </c>
      <c r="S24">
        <f>HYPERLINK("https://klasma.github.io/Logging_2404/artfynd/A 45267-2021 artfynd.xlsx", "A 45267-2021")</f>
        <v/>
      </c>
      <c r="T24">
        <f>HYPERLINK("https://klasma.github.io/Logging_2404/kartor/A 45267-2021 karta.png", "A 45267-2021")</f>
        <v/>
      </c>
      <c r="V24">
        <f>HYPERLINK("https://klasma.github.io/Logging_2404/klagomål/A 45267-2021 FSC-klagomål.docx", "A 45267-2021")</f>
        <v/>
      </c>
      <c r="W24">
        <f>HYPERLINK("https://klasma.github.io/Logging_2404/klagomålsmail/A 45267-2021 FSC-klagomål mail.docx", "A 45267-2021")</f>
        <v/>
      </c>
      <c r="X24">
        <f>HYPERLINK("https://klasma.github.io/Logging_2404/tillsyn/A 45267-2021 tillsynsbegäran.docx", "A 45267-2021")</f>
        <v/>
      </c>
      <c r="Y24">
        <f>HYPERLINK("https://klasma.github.io/Logging_2404/tillsynsmail/A 45267-2021 tillsynsbegäran mail.docx", "A 45267-2021")</f>
        <v/>
      </c>
      <c r="Z24">
        <f>HYPERLINK("https://klasma.github.io/Logging_2404/fåglar/A 45267-2021 prioriterade fågelarter.docx", "A 45267-2021")</f>
        <v/>
      </c>
    </row>
    <row r="25" ht="15" customHeight="1">
      <c r="A25" t="inlineStr">
        <is>
          <t>A 28706-2024</t>
        </is>
      </c>
      <c r="B25" s="1" t="n">
        <v>45478</v>
      </c>
      <c r="C25" s="1" t="n">
        <v>46197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2.2</v>
      </c>
      <c r="H25" t="n">
        <v>4</v>
      </c>
      <c r="I25" t="n">
        <v>0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6</v>
      </c>
      <c r="R25" s="2" t="inlineStr">
        <is>
          <t>Garnlav
Knärot
Tretåig hackspett
Ullticka
Spillkråka
Fläcknycklar</t>
        </is>
      </c>
      <c r="S25">
        <f>HYPERLINK("https://klasma.github.io/Logging_2404/artfynd/A 28706-2024 artfynd.xlsx", "A 28706-2024")</f>
        <v/>
      </c>
      <c r="T25">
        <f>HYPERLINK("https://klasma.github.io/Logging_2404/kartor/A 28706-2024 karta.png", "A 28706-2024")</f>
        <v/>
      </c>
      <c r="U25">
        <f>HYPERLINK("https://klasma.github.io/Logging_2404/knärot/A 28706-2024 karta knärot.png", "A 28706-2024")</f>
        <v/>
      </c>
      <c r="V25">
        <f>HYPERLINK("https://klasma.github.io/Logging_2404/klagomål/A 28706-2024 FSC-klagomål.docx", "A 28706-2024")</f>
        <v/>
      </c>
      <c r="W25">
        <f>HYPERLINK("https://klasma.github.io/Logging_2404/klagomålsmail/A 28706-2024 FSC-klagomål mail.docx", "A 28706-2024")</f>
        <v/>
      </c>
      <c r="X25">
        <f>HYPERLINK("https://klasma.github.io/Logging_2404/tillsyn/A 28706-2024 tillsynsbegäran.docx", "A 28706-2024")</f>
        <v/>
      </c>
      <c r="Y25">
        <f>HYPERLINK("https://klasma.github.io/Logging_2404/tillsynsmail/A 28706-2024 tillsynsbegäran mail.docx", "A 28706-2024")</f>
        <v/>
      </c>
      <c r="Z25">
        <f>HYPERLINK("https://klasma.github.io/Logging_2404/fåglar/A 28706-2024 prioriterade fågelarter.docx", "A 28706-2024")</f>
        <v/>
      </c>
    </row>
    <row r="26" ht="15" customHeight="1">
      <c r="A26" t="inlineStr">
        <is>
          <t>A 28831-2024</t>
        </is>
      </c>
      <c r="B26" s="1" t="n">
        <v>45478</v>
      </c>
      <c r="C26" s="1" t="n">
        <v>46197</v>
      </c>
      <c r="D26" t="inlineStr">
        <is>
          <t>VÄSTERBOTTENS LÄN</t>
        </is>
      </c>
      <c r="E26" t="inlineStr">
        <is>
          <t>VINDELN</t>
        </is>
      </c>
      <c r="F26" t="inlineStr">
        <is>
          <t>Holmen skog AB</t>
        </is>
      </c>
      <c r="G26" t="n">
        <v>1.6</v>
      </c>
      <c r="H26" t="n">
        <v>2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6</v>
      </c>
      <c r="R26" s="2" t="inlineStr">
        <is>
          <t>Garnlav
Lunglav
Tretåig hackspett
Ullticka
Vedticka
Spillkråka</t>
        </is>
      </c>
      <c r="S26">
        <f>HYPERLINK("https://klasma.github.io/Logging_2404/artfynd/A 28831-2024 artfynd.xlsx", "A 28831-2024")</f>
        <v/>
      </c>
      <c r="T26">
        <f>HYPERLINK("https://klasma.github.io/Logging_2404/kartor/A 28831-2024 karta.png", "A 28831-2024")</f>
        <v/>
      </c>
      <c r="V26">
        <f>HYPERLINK("https://klasma.github.io/Logging_2404/klagomål/A 28831-2024 FSC-klagomål.docx", "A 28831-2024")</f>
        <v/>
      </c>
      <c r="W26">
        <f>HYPERLINK("https://klasma.github.io/Logging_2404/klagomålsmail/A 28831-2024 FSC-klagomål mail.docx", "A 28831-2024")</f>
        <v/>
      </c>
      <c r="X26">
        <f>HYPERLINK("https://klasma.github.io/Logging_2404/tillsyn/A 28831-2024 tillsynsbegäran.docx", "A 28831-2024")</f>
        <v/>
      </c>
      <c r="Y26">
        <f>HYPERLINK("https://klasma.github.io/Logging_2404/tillsynsmail/A 28831-2024 tillsynsbegäran mail.docx", "A 28831-2024")</f>
        <v/>
      </c>
      <c r="Z26">
        <f>HYPERLINK("https://klasma.github.io/Logging_2404/fåglar/A 28831-2024 prioriterade fågelarter.docx", "A 28831-2024")</f>
        <v/>
      </c>
    </row>
    <row r="27" ht="15" customHeight="1">
      <c r="A27" t="inlineStr">
        <is>
          <t>A 55409-2024</t>
        </is>
      </c>
      <c r="B27" s="1" t="n">
        <v>45622</v>
      </c>
      <c r="C27" s="1" t="n">
        <v>46197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12.4</v>
      </c>
      <c r="H27" t="n">
        <v>0</v>
      </c>
      <c r="I27" t="n">
        <v>0</v>
      </c>
      <c r="J27" t="n">
        <v>4</v>
      </c>
      <c r="K27" t="n">
        <v>2</v>
      </c>
      <c r="L27" t="n">
        <v>0</v>
      </c>
      <c r="M27" t="n">
        <v>0</v>
      </c>
      <c r="N27" t="n">
        <v>0</v>
      </c>
      <c r="O27" t="n">
        <v>6</v>
      </c>
      <c r="P27" t="n">
        <v>2</v>
      </c>
      <c r="Q27" t="n">
        <v>6</v>
      </c>
      <c r="R27" s="2" t="inlineStr">
        <is>
          <t>Garnlav
Smalfotad taggsvamp
Blå taggsvamp
Lunglav
Vaddporing
Violettgrå tagellav</t>
        </is>
      </c>
      <c r="S27">
        <f>HYPERLINK("https://klasma.github.io/Logging_2404/artfynd/A 55409-2024 artfynd.xlsx", "A 55409-2024")</f>
        <v/>
      </c>
      <c r="T27">
        <f>HYPERLINK("https://klasma.github.io/Logging_2404/kartor/A 55409-2024 karta.png", "A 55409-2024")</f>
        <v/>
      </c>
      <c r="V27">
        <f>HYPERLINK("https://klasma.github.io/Logging_2404/klagomål/A 55409-2024 FSC-klagomål.docx", "A 55409-2024")</f>
        <v/>
      </c>
      <c r="W27">
        <f>HYPERLINK("https://klasma.github.io/Logging_2404/klagomålsmail/A 55409-2024 FSC-klagomål mail.docx", "A 55409-2024")</f>
        <v/>
      </c>
      <c r="X27">
        <f>HYPERLINK("https://klasma.github.io/Logging_2404/tillsyn/A 55409-2024 tillsynsbegäran.docx", "A 55409-2024")</f>
        <v/>
      </c>
      <c r="Y27">
        <f>HYPERLINK("https://klasma.github.io/Logging_2404/tillsynsmail/A 55409-2024 tillsynsbegäran mail.docx", "A 55409-2024")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46197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Höstlåsbräken
Månlåsbräken
Turkos blåvinge
Ängsmetallvinge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2274-2024</t>
        </is>
      </c>
      <c r="B29" s="1" t="n">
        <v>45310</v>
      </c>
      <c r="C29" s="1" t="n">
        <v>46197</v>
      </c>
      <c r="D29" t="inlineStr">
        <is>
          <t>VÄSTERBOTTENS LÄN</t>
        </is>
      </c>
      <c r="E29" t="inlineStr">
        <is>
          <t>VINDELN</t>
        </is>
      </c>
      <c r="G29" t="n">
        <v>7.9</v>
      </c>
      <c r="H29" t="n">
        <v>1</v>
      </c>
      <c r="I29" t="n">
        <v>1</v>
      </c>
      <c r="J29" t="n">
        <v>3</v>
      </c>
      <c r="K29" t="n">
        <v>2</v>
      </c>
      <c r="L29" t="n">
        <v>0</v>
      </c>
      <c r="M29" t="n">
        <v>0</v>
      </c>
      <c r="N29" t="n">
        <v>0</v>
      </c>
      <c r="O29" t="n">
        <v>5</v>
      </c>
      <c r="P29" t="n">
        <v>2</v>
      </c>
      <c r="Q29" t="n">
        <v>6</v>
      </c>
      <c r="R29" s="2" t="inlineStr">
        <is>
          <t>Garnlav
Knärot
Lunglav
Mörk kolflarnlav
Stiftgelélav
Bårdlav</t>
        </is>
      </c>
      <c r="S29">
        <f>HYPERLINK("https://klasma.github.io/Logging_2404/artfynd/A 2274-2024 artfynd.xlsx", "A 2274-2024")</f>
        <v/>
      </c>
      <c r="T29">
        <f>HYPERLINK("https://klasma.github.io/Logging_2404/kartor/A 2274-2024 karta.png", "A 2274-2024")</f>
        <v/>
      </c>
      <c r="U29">
        <f>HYPERLINK("https://klasma.github.io/Logging_2404/knärot/A 2274-2024 karta knärot.png", "A 2274-2024")</f>
        <v/>
      </c>
      <c r="V29">
        <f>HYPERLINK("https://klasma.github.io/Logging_2404/klagomål/A 2274-2024 FSC-klagomål.docx", "A 2274-2024")</f>
        <v/>
      </c>
      <c r="W29">
        <f>HYPERLINK("https://klasma.github.io/Logging_2404/klagomålsmail/A 2274-2024 FSC-klagomål mail.docx", "A 2274-2024")</f>
        <v/>
      </c>
      <c r="X29">
        <f>HYPERLINK("https://klasma.github.io/Logging_2404/tillsyn/A 2274-2024 tillsynsbegäran.docx", "A 2274-2024")</f>
        <v/>
      </c>
      <c r="Y29">
        <f>HYPERLINK("https://klasma.github.io/Logging_2404/tillsynsmail/A 2274-2024 tillsynsbegäran mail.docx", "A 2274-2024")</f>
        <v/>
      </c>
    </row>
    <row r="30" ht="15" customHeight="1">
      <c r="A30" t="inlineStr">
        <is>
          <t>A 27519-2026</t>
        </is>
      </c>
      <c r="B30" s="1" t="n">
        <v>46189</v>
      </c>
      <c r="C30" s="1" t="n">
        <v>46197</v>
      </c>
      <c r="D30" t="inlineStr">
        <is>
          <t>VÄSTERBOTTENS LÄN</t>
        </is>
      </c>
      <c r="E30" t="inlineStr">
        <is>
          <t>VINDELN</t>
        </is>
      </c>
      <c r="G30" t="n">
        <v>7.4</v>
      </c>
      <c r="H30" t="n">
        <v>2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Lunglav
Tretåig hackspett
Ullticka
Skinnlav
Spillkråka</t>
        </is>
      </c>
      <c r="S30">
        <f>HYPERLINK("https://klasma.github.io/Logging_2404/artfynd/A 27519-2026 artfynd.xlsx", "A 27519-2026")</f>
        <v/>
      </c>
      <c r="T30">
        <f>HYPERLINK("https://klasma.github.io/Logging_2404/kartor/A 27519-2026 karta.png", "A 27519-2026")</f>
        <v/>
      </c>
      <c r="V30">
        <f>HYPERLINK("https://klasma.github.io/Logging_2404/klagomål/A 27519-2026 FSC-klagomål.docx", "A 27519-2026")</f>
        <v/>
      </c>
      <c r="W30">
        <f>HYPERLINK("https://klasma.github.io/Logging_2404/klagomålsmail/A 27519-2026 FSC-klagomål mail.docx", "A 27519-2026")</f>
        <v/>
      </c>
      <c r="X30">
        <f>HYPERLINK("https://klasma.github.io/Logging_2404/tillsyn/A 27519-2026 tillsynsbegäran.docx", "A 27519-2026")</f>
        <v/>
      </c>
      <c r="Y30">
        <f>HYPERLINK("https://klasma.github.io/Logging_2404/tillsynsmail/A 27519-2026 tillsynsbegäran mail.docx", "A 27519-2026")</f>
        <v/>
      </c>
      <c r="Z30">
        <f>HYPERLINK("https://klasma.github.io/Logging_2404/fåglar/A 27519-2026 prioriterade fågelarter.docx", "A 27519-2026")</f>
        <v/>
      </c>
    </row>
    <row r="31" ht="15" customHeight="1">
      <c r="A31" t="inlineStr">
        <is>
          <t>A 24413-2024</t>
        </is>
      </c>
      <c r="B31" s="1" t="n">
        <v>45457</v>
      </c>
      <c r="C31" s="1" t="n">
        <v>46197</v>
      </c>
      <c r="D31" t="inlineStr">
        <is>
          <t>VÄSTERBOTTENS LÄN</t>
        </is>
      </c>
      <c r="E31" t="inlineStr">
        <is>
          <t>VINDELN</t>
        </is>
      </c>
      <c r="G31" t="n">
        <v>0.7</v>
      </c>
      <c r="H31" t="n">
        <v>1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Garnlav
Tretåig hackspett
Ullticka
Vedticka</t>
        </is>
      </c>
      <c r="S31">
        <f>HYPERLINK("https://klasma.github.io/Logging_2404/artfynd/A 24413-2024 artfynd.xlsx", "A 24413-2024")</f>
        <v/>
      </c>
      <c r="T31">
        <f>HYPERLINK("https://klasma.github.io/Logging_2404/kartor/A 24413-2024 karta.png", "A 24413-2024")</f>
        <v/>
      </c>
      <c r="V31">
        <f>HYPERLINK("https://klasma.github.io/Logging_2404/klagomål/A 24413-2024 FSC-klagomål.docx", "A 24413-2024")</f>
        <v/>
      </c>
      <c r="W31">
        <f>HYPERLINK("https://klasma.github.io/Logging_2404/klagomålsmail/A 24413-2024 FSC-klagomål mail.docx", "A 24413-2024")</f>
        <v/>
      </c>
      <c r="X31">
        <f>HYPERLINK("https://klasma.github.io/Logging_2404/tillsyn/A 24413-2024 tillsynsbegäran.docx", "A 24413-2024")</f>
        <v/>
      </c>
      <c r="Y31">
        <f>HYPERLINK("https://klasma.github.io/Logging_2404/tillsynsmail/A 24413-2024 tillsynsbegäran mail.docx", "A 24413-2024")</f>
        <v/>
      </c>
      <c r="Z31">
        <f>HYPERLINK("https://klasma.github.io/Logging_2404/fåglar/A 24413-2024 prioriterade fågelarter.docx", "A 24413-2024")</f>
        <v/>
      </c>
    </row>
    <row r="32" ht="15" customHeight="1">
      <c r="A32" t="inlineStr">
        <is>
          <t>A 25880-2026</t>
        </is>
      </c>
      <c r="B32" s="1" t="n">
        <v>46178</v>
      </c>
      <c r="C32" s="1" t="n">
        <v>46197</v>
      </c>
      <c r="D32" t="inlineStr">
        <is>
          <t>VÄSTERBOTTENS LÄN</t>
        </is>
      </c>
      <c r="E32" t="inlineStr">
        <is>
          <t>VINDELN</t>
        </is>
      </c>
      <c r="F32" t="inlineStr">
        <is>
          <t>SCA</t>
        </is>
      </c>
      <c r="G32" t="n">
        <v>2</v>
      </c>
      <c r="H32" t="n">
        <v>0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4</v>
      </c>
      <c r="R32" s="2" t="inlineStr">
        <is>
          <t>Garnlav
Dvärgbägarlav
Kolflarnlav
Mörk kolflarnlav</t>
        </is>
      </c>
      <c r="S32">
        <f>HYPERLINK("https://klasma.github.io/Logging_2404/artfynd/A 25880-2026 artfynd.xlsx", "A 25880-2026")</f>
        <v/>
      </c>
      <c r="T32">
        <f>HYPERLINK("https://klasma.github.io/Logging_2404/kartor/A 25880-2026 karta.png", "A 25880-2026")</f>
        <v/>
      </c>
      <c r="V32">
        <f>HYPERLINK("https://klasma.github.io/Logging_2404/klagomål/A 25880-2026 FSC-klagomål.docx", "A 25880-2026")</f>
        <v/>
      </c>
      <c r="W32">
        <f>HYPERLINK("https://klasma.github.io/Logging_2404/klagomålsmail/A 25880-2026 FSC-klagomål mail.docx", "A 25880-2026")</f>
        <v/>
      </c>
      <c r="X32">
        <f>HYPERLINK("https://klasma.github.io/Logging_2404/tillsyn/A 25880-2026 tillsynsbegäran.docx", "A 25880-2026")</f>
        <v/>
      </c>
      <c r="Y32">
        <f>HYPERLINK("https://klasma.github.io/Logging_2404/tillsynsmail/A 25880-2026 tillsynsbegäran mail.docx", "A 25880-2026")</f>
        <v/>
      </c>
    </row>
    <row r="33" ht="15" customHeight="1">
      <c r="A33" t="inlineStr">
        <is>
          <t>A 57846-2023</t>
        </is>
      </c>
      <c r="B33" s="1" t="n">
        <v>45247</v>
      </c>
      <c r="C33" s="1" t="n">
        <v>46197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5.3</v>
      </c>
      <c r="H33" t="n">
        <v>1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Garnlav
Lavskrika
Stiftgelélav
Skinnlav</t>
        </is>
      </c>
      <c r="S33">
        <f>HYPERLINK("https://klasma.github.io/Logging_2404/artfynd/A 57846-2023 artfynd.xlsx", "A 57846-2023")</f>
        <v/>
      </c>
      <c r="T33">
        <f>HYPERLINK("https://klasma.github.io/Logging_2404/kartor/A 57846-2023 karta.png", "A 57846-2023")</f>
        <v/>
      </c>
      <c r="V33">
        <f>HYPERLINK("https://klasma.github.io/Logging_2404/klagomål/A 57846-2023 FSC-klagomål.docx", "A 57846-2023")</f>
        <v/>
      </c>
      <c r="W33">
        <f>HYPERLINK("https://klasma.github.io/Logging_2404/klagomålsmail/A 57846-2023 FSC-klagomål mail.docx", "A 57846-2023")</f>
        <v/>
      </c>
      <c r="X33">
        <f>HYPERLINK("https://klasma.github.io/Logging_2404/tillsyn/A 57846-2023 tillsynsbegäran.docx", "A 57846-2023")</f>
        <v/>
      </c>
      <c r="Y33">
        <f>HYPERLINK("https://klasma.github.io/Logging_2404/tillsynsmail/A 57846-2023 tillsynsbegäran mail.docx", "A 57846-2023")</f>
        <v/>
      </c>
      <c r="Z33">
        <f>HYPERLINK("https://klasma.github.io/Logging_2404/fåglar/A 57846-2023 prioriterade fågelarter.docx", "A 57846-2023")</f>
        <v/>
      </c>
    </row>
    <row r="34" ht="15" customHeight="1">
      <c r="A34" t="inlineStr">
        <is>
          <t>A 27518-2026</t>
        </is>
      </c>
      <c r="B34" s="1" t="n">
        <v>46189</v>
      </c>
      <c r="C34" s="1" t="n">
        <v>46197</v>
      </c>
      <c r="D34" t="inlineStr">
        <is>
          <t>VÄSTERBOTTENS LÄN</t>
        </is>
      </c>
      <c r="E34" t="inlineStr">
        <is>
          <t>VINDELN</t>
        </is>
      </c>
      <c r="G34" t="n">
        <v>5.2</v>
      </c>
      <c r="H34" t="n">
        <v>1</v>
      </c>
      <c r="I34" t="n">
        <v>0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4</v>
      </c>
      <c r="R34" s="2" t="inlineStr">
        <is>
          <t>Garnlav
Harticka
Lunglav
Tretåig hackspett</t>
        </is>
      </c>
      <c r="S34">
        <f>HYPERLINK("https://klasma.github.io/Logging_2404/artfynd/A 27518-2026 artfynd.xlsx", "A 27518-2026")</f>
        <v/>
      </c>
      <c r="T34">
        <f>HYPERLINK("https://klasma.github.io/Logging_2404/kartor/A 27518-2026 karta.png", "A 27518-2026")</f>
        <v/>
      </c>
      <c r="V34">
        <f>HYPERLINK("https://klasma.github.io/Logging_2404/klagomål/A 27518-2026 FSC-klagomål.docx", "A 27518-2026")</f>
        <v/>
      </c>
      <c r="W34">
        <f>HYPERLINK("https://klasma.github.io/Logging_2404/klagomålsmail/A 27518-2026 FSC-klagomål mail.docx", "A 27518-2026")</f>
        <v/>
      </c>
      <c r="X34">
        <f>HYPERLINK("https://klasma.github.io/Logging_2404/tillsyn/A 27518-2026 tillsynsbegäran.docx", "A 27518-2026")</f>
        <v/>
      </c>
      <c r="Y34">
        <f>HYPERLINK("https://klasma.github.io/Logging_2404/tillsynsmail/A 27518-2026 tillsynsbegäran mail.docx", "A 27518-2026")</f>
        <v/>
      </c>
      <c r="Z34">
        <f>HYPERLINK("https://klasma.github.io/Logging_2404/fåglar/A 27518-2026 prioriterade fågelarter.docx", "A 27518-2026")</f>
        <v/>
      </c>
    </row>
    <row r="35" ht="15" customHeight="1">
      <c r="A35" t="inlineStr">
        <is>
          <t>A 61824-2022</t>
        </is>
      </c>
      <c r="B35" s="1" t="n">
        <v>44917</v>
      </c>
      <c r="C35" s="1" t="n">
        <v>46197</v>
      </c>
      <c r="D35" t="inlineStr">
        <is>
          <t>VÄSTERBOTTENS LÄN</t>
        </is>
      </c>
      <c r="E35" t="inlineStr">
        <is>
          <t>VINDELN</t>
        </is>
      </c>
      <c r="G35" t="n">
        <v>4.1</v>
      </c>
      <c r="H35" t="n">
        <v>0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Tallgråticka
Orange taggsvamp
Talltaggsvamp
Mindre märgborre</t>
        </is>
      </c>
      <c r="S35">
        <f>HYPERLINK("https://klasma.github.io/Logging_2404/artfynd/A 61824-2022 artfynd.xlsx", "A 61824-2022")</f>
        <v/>
      </c>
      <c r="T35">
        <f>HYPERLINK("https://klasma.github.io/Logging_2404/kartor/A 61824-2022 karta.png", "A 61824-2022")</f>
        <v/>
      </c>
      <c r="V35">
        <f>HYPERLINK("https://klasma.github.io/Logging_2404/klagomål/A 61824-2022 FSC-klagomål.docx", "A 61824-2022")</f>
        <v/>
      </c>
      <c r="W35">
        <f>HYPERLINK("https://klasma.github.io/Logging_2404/klagomålsmail/A 61824-2022 FSC-klagomål mail.docx", "A 61824-2022")</f>
        <v/>
      </c>
      <c r="X35">
        <f>HYPERLINK("https://klasma.github.io/Logging_2404/tillsyn/A 61824-2022 tillsynsbegäran.docx", "A 61824-2022")</f>
        <v/>
      </c>
      <c r="Y35">
        <f>HYPERLINK("https://klasma.github.io/Logging_2404/tillsynsmail/A 61824-2022 tillsynsbegäran mail.docx", "A 61824-2022")</f>
        <v/>
      </c>
    </row>
    <row r="36" ht="15" customHeight="1">
      <c r="A36" t="inlineStr">
        <is>
          <t>A 19007-2022</t>
        </is>
      </c>
      <c r="B36" s="1" t="n">
        <v>44690</v>
      </c>
      <c r="C36" s="1" t="n">
        <v>46197</v>
      </c>
      <c r="D36" t="inlineStr">
        <is>
          <t>VÄSTERBOTTENS LÄN</t>
        </is>
      </c>
      <c r="E36" t="inlineStr">
        <is>
          <t>VINDELN</t>
        </is>
      </c>
      <c r="F36" t="inlineStr">
        <is>
          <t>SCA</t>
        </is>
      </c>
      <c r="G36" t="n">
        <v>5.1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Blå taggsvamp
Dropptaggsvamp
Motaggsvamp
Orange taggsvamp</t>
        </is>
      </c>
      <c r="S36">
        <f>HYPERLINK("https://klasma.github.io/Logging_2404/artfynd/A 19007-2022 artfynd.xlsx", "A 19007-2022")</f>
        <v/>
      </c>
      <c r="T36">
        <f>HYPERLINK("https://klasma.github.io/Logging_2404/kartor/A 19007-2022 karta.png", "A 19007-2022")</f>
        <v/>
      </c>
      <c r="V36">
        <f>HYPERLINK("https://klasma.github.io/Logging_2404/klagomål/A 19007-2022 FSC-klagomål.docx", "A 19007-2022")</f>
        <v/>
      </c>
      <c r="W36">
        <f>HYPERLINK("https://klasma.github.io/Logging_2404/klagomålsmail/A 19007-2022 FSC-klagomål mail.docx", "A 19007-2022")</f>
        <v/>
      </c>
      <c r="X36">
        <f>HYPERLINK("https://klasma.github.io/Logging_2404/tillsyn/A 19007-2022 tillsynsbegäran.docx", "A 19007-2022")</f>
        <v/>
      </c>
      <c r="Y36">
        <f>HYPERLINK("https://klasma.github.io/Logging_2404/tillsynsmail/A 19007-2022 tillsynsbegäran mail.docx", "A 19007-2022")</f>
        <v/>
      </c>
    </row>
    <row r="37" ht="15" customHeight="1">
      <c r="A37" t="inlineStr">
        <is>
          <t>A 64868-2021</t>
        </is>
      </c>
      <c r="B37" s="1" t="n">
        <v>44512</v>
      </c>
      <c r="C37" s="1" t="n">
        <v>46197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3.7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Blå taggsvamp
Dropptaggsvamp
Skarp dropptaggsvamp</t>
        </is>
      </c>
      <c r="S37">
        <f>HYPERLINK("https://klasma.github.io/Logging_2404/artfynd/A 64868-2021 artfynd.xlsx", "A 64868-2021")</f>
        <v/>
      </c>
      <c r="T37">
        <f>HYPERLINK("https://klasma.github.io/Logging_2404/kartor/A 64868-2021 karta.png", "A 64868-2021")</f>
        <v/>
      </c>
      <c r="V37">
        <f>HYPERLINK("https://klasma.github.io/Logging_2404/klagomål/A 64868-2021 FSC-klagomål.docx", "A 64868-2021")</f>
        <v/>
      </c>
      <c r="W37">
        <f>HYPERLINK("https://klasma.github.io/Logging_2404/klagomålsmail/A 64868-2021 FSC-klagomål mail.docx", "A 64868-2021")</f>
        <v/>
      </c>
      <c r="X37">
        <f>HYPERLINK("https://klasma.github.io/Logging_2404/tillsyn/A 64868-2021 tillsynsbegäran.docx", "A 64868-2021")</f>
        <v/>
      </c>
      <c r="Y37">
        <f>HYPERLINK("https://klasma.github.io/Logging_2404/tillsynsmail/A 64868-2021 tillsynsbegäran mail.docx", "A 64868-2021")</f>
        <v/>
      </c>
    </row>
    <row r="38" ht="15" customHeight="1">
      <c r="A38" t="inlineStr">
        <is>
          <t>A 33871-2025</t>
        </is>
      </c>
      <c r="B38" s="1" t="n">
        <v>45842</v>
      </c>
      <c r="C38" s="1" t="n">
        <v>46197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13.5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Garnlav
Brunpudrad nållav
Bollvitmossa</t>
        </is>
      </c>
      <c r="S38">
        <f>HYPERLINK("https://klasma.github.io/Logging_2404/artfynd/A 33871-2025 artfynd.xlsx", "A 33871-2025")</f>
        <v/>
      </c>
      <c r="T38">
        <f>HYPERLINK("https://klasma.github.io/Logging_2404/kartor/A 33871-2025 karta.png", "A 33871-2025")</f>
        <v/>
      </c>
      <c r="V38">
        <f>HYPERLINK("https://klasma.github.io/Logging_2404/klagomål/A 33871-2025 FSC-klagomål.docx", "A 33871-2025")</f>
        <v/>
      </c>
      <c r="W38">
        <f>HYPERLINK("https://klasma.github.io/Logging_2404/klagomålsmail/A 33871-2025 FSC-klagomål mail.docx", "A 33871-2025")</f>
        <v/>
      </c>
      <c r="X38">
        <f>HYPERLINK("https://klasma.github.io/Logging_2404/tillsyn/A 33871-2025 tillsynsbegäran.docx", "A 33871-2025")</f>
        <v/>
      </c>
      <c r="Y38">
        <f>HYPERLINK("https://klasma.github.io/Logging_2404/tillsynsmail/A 33871-2025 tillsynsbegäran mail.docx", "A 33871-2025")</f>
        <v/>
      </c>
    </row>
    <row r="39" ht="15" customHeight="1">
      <c r="A39" t="inlineStr">
        <is>
          <t>A 28708-2024</t>
        </is>
      </c>
      <c r="B39" s="1" t="n">
        <v>45478</v>
      </c>
      <c r="C39" s="1" t="n">
        <v>46197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2</v>
      </c>
      <c r="H39" t="n">
        <v>1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3</v>
      </c>
      <c r="R39" s="2" t="inlineStr">
        <is>
          <t>Garnlav
Tretåig hackspett
Ullticka</t>
        </is>
      </c>
      <c r="S39">
        <f>HYPERLINK("https://klasma.github.io/Logging_2404/artfynd/A 28708-2024 artfynd.xlsx", "A 28708-2024")</f>
        <v/>
      </c>
      <c r="T39">
        <f>HYPERLINK("https://klasma.github.io/Logging_2404/kartor/A 28708-2024 karta.png", "A 28708-2024")</f>
        <v/>
      </c>
      <c r="V39">
        <f>HYPERLINK("https://klasma.github.io/Logging_2404/klagomål/A 28708-2024 FSC-klagomål.docx", "A 28708-2024")</f>
        <v/>
      </c>
      <c r="W39">
        <f>HYPERLINK("https://klasma.github.io/Logging_2404/klagomålsmail/A 28708-2024 FSC-klagomål mail.docx", "A 28708-2024")</f>
        <v/>
      </c>
      <c r="X39">
        <f>HYPERLINK("https://klasma.github.io/Logging_2404/tillsyn/A 28708-2024 tillsynsbegäran.docx", "A 28708-2024")</f>
        <v/>
      </c>
      <c r="Y39">
        <f>HYPERLINK("https://klasma.github.io/Logging_2404/tillsynsmail/A 28708-2024 tillsynsbegäran mail.docx", "A 28708-2024")</f>
        <v/>
      </c>
      <c r="Z39">
        <f>HYPERLINK("https://klasma.github.io/Logging_2404/fåglar/A 28708-2024 prioriterade fågelarter.docx", "A 28708-2024")</f>
        <v/>
      </c>
    </row>
    <row r="40" ht="15" customHeight="1">
      <c r="A40" t="inlineStr">
        <is>
          <t>A 17099-2025</t>
        </is>
      </c>
      <c r="B40" s="1" t="n">
        <v>45755</v>
      </c>
      <c r="C40" s="1" t="n">
        <v>46197</v>
      </c>
      <c r="D40" t="inlineStr">
        <is>
          <t>VÄSTERBOTTENS LÄN</t>
        </is>
      </c>
      <c r="E40" t="inlineStr">
        <is>
          <t>VINDELN</t>
        </is>
      </c>
      <c r="F40" t="inlineStr">
        <is>
          <t>SCA</t>
        </is>
      </c>
      <c r="G40" t="n">
        <v>32.8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Garnlav
Lunglav
Stuplav</t>
        </is>
      </c>
      <c r="S40">
        <f>HYPERLINK("https://klasma.github.io/Logging_2404/artfynd/A 17099-2025 artfynd.xlsx", "A 17099-2025")</f>
        <v/>
      </c>
      <c r="T40">
        <f>HYPERLINK("https://klasma.github.io/Logging_2404/kartor/A 17099-2025 karta.png", "A 17099-2025")</f>
        <v/>
      </c>
      <c r="V40">
        <f>HYPERLINK("https://klasma.github.io/Logging_2404/klagomål/A 17099-2025 FSC-klagomål.docx", "A 17099-2025")</f>
        <v/>
      </c>
      <c r="W40">
        <f>HYPERLINK("https://klasma.github.io/Logging_2404/klagomålsmail/A 17099-2025 FSC-klagomål mail.docx", "A 17099-2025")</f>
        <v/>
      </c>
      <c r="X40">
        <f>HYPERLINK("https://klasma.github.io/Logging_2404/tillsyn/A 17099-2025 tillsynsbegäran.docx", "A 17099-2025")</f>
        <v/>
      </c>
      <c r="Y40">
        <f>HYPERLINK("https://klasma.github.io/Logging_2404/tillsynsmail/A 17099-2025 tillsynsbegäran mail.docx", "A 17099-2025")</f>
        <v/>
      </c>
    </row>
    <row r="41" ht="15" customHeight="1">
      <c r="A41" t="inlineStr">
        <is>
          <t>A 14463-2026</t>
        </is>
      </c>
      <c r="B41" s="1" t="n">
        <v>46100</v>
      </c>
      <c r="C41" s="1" t="n">
        <v>46197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5.7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Garnlav
Talltagel
Nästlav</t>
        </is>
      </c>
      <c r="S41">
        <f>HYPERLINK("https://klasma.github.io/Logging_2404/artfynd/A 14463-2026 artfynd.xlsx", "A 14463-2026")</f>
        <v/>
      </c>
      <c r="T41">
        <f>HYPERLINK("https://klasma.github.io/Logging_2404/kartor/A 14463-2026 karta.png", "A 14463-2026")</f>
        <v/>
      </c>
      <c r="V41">
        <f>HYPERLINK("https://klasma.github.io/Logging_2404/klagomål/A 14463-2026 FSC-klagomål.docx", "A 14463-2026")</f>
        <v/>
      </c>
      <c r="W41">
        <f>HYPERLINK("https://klasma.github.io/Logging_2404/klagomålsmail/A 14463-2026 FSC-klagomål mail.docx", "A 14463-2026")</f>
        <v/>
      </c>
      <c r="X41">
        <f>HYPERLINK("https://klasma.github.io/Logging_2404/tillsyn/A 14463-2026 tillsynsbegäran.docx", "A 14463-2026")</f>
        <v/>
      </c>
      <c r="Y41">
        <f>HYPERLINK("https://klasma.github.io/Logging_2404/tillsynsmail/A 14463-2026 tillsynsbegäran mail.docx", "A 14463-2026")</f>
        <v/>
      </c>
    </row>
    <row r="42" ht="15" customHeight="1">
      <c r="A42" t="inlineStr">
        <is>
          <t>A 61826-2022</t>
        </is>
      </c>
      <c r="B42" s="1" t="n">
        <v>44917</v>
      </c>
      <c r="C42" s="1" t="n">
        <v>46197</v>
      </c>
      <c r="D42" t="inlineStr">
        <is>
          <t>VÄSTERBOTTENS LÄN</t>
        </is>
      </c>
      <c r="E42" t="inlineStr">
        <is>
          <t>VINDELN</t>
        </is>
      </c>
      <c r="G42" t="n">
        <v>3.1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Kolflarnlav
Vedskivlav
Mindre märgborre</t>
        </is>
      </c>
      <c r="S42">
        <f>HYPERLINK("https://klasma.github.io/Logging_2404/artfynd/A 61826-2022 artfynd.xlsx", "A 61826-2022")</f>
        <v/>
      </c>
      <c r="T42">
        <f>HYPERLINK("https://klasma.github.io/Logging_2404/kartor/A 61826-2022 karta.png", "A 61826-2022")</f>
        <v/>
      </c>
      <c r="V42">
        <f>HYPERLINK("https://klasma.github.io/Logging_2404/klagomål/A 61826-2022 FSC-klagomål.docx", "A 61826-2022")</f>
        <v/>
      </c>
      <c r="W42">
        <f>HYPERLINK("https://klasma.github.io/Logging_2404/klagomålsmail/A 61826-2022 FSC-klagomål mail.docx", "A 61826-2022")</f>
        <v/>
      </c>
      <c r="X42">
        <f>HYPERLINK("https://klasma.github.io/Logging_2404/tillsyn/A 61826-2022 tillsynsbegäran.docx", "A 61826-2022")</f>
        <v/>
      </c>
      <c r="Y42">
        <f>HYPERLINK("https://klasma.github.io/Logging_2404/tillsynsmail/A 61826-2022 tillsynsbegäran mail.docx", "A 61826-2022")</f>
        <v/>
      </c>
    </row>
    <row r="43" ht="15" customHeight="1">
      <c r="A43" t="inlineStr">
        <is>
          <t>A 14348-2025</t>
        </is>
      </c>
      <c r="B43" s="1" t="n">
        <v>45741</v>
      </c>
      <c r="C43" s="1" t="n">
        <v>46197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7.6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Aspvedgnagare
Robust tickgnagare
Fläcknycklar</t>
        </is>
      </c>
      <c r="S43">
        <f>HYPERLINK("https://klasma.github.io/Logging_2404/artfynd/A 14348-2025 artfynd.xlsx", "A 14348-2025")</f>
        <v/>
      </c>
      <c r="T43">
        <f>HYPERLINK("https://klasma.github.io/Logging_2404/kartor/A 14348-2025 karta.png", "A 14348-2025")</f>
        <v/>
      </c>
      <c r="V43">
        <f>HYPERLINK("https://klasma.github.io/Logging_2404/klagomål/A 14348-2025 FSC-klagomål.docx", "A 14348-2025")</f>
        <v/>
      </c>
      <c r="W43">
        <f>HYPERLINK("https://klasma.github.io/Logging_2404/klagomålsmail/A 14348-2025 FSC-klagomål mail.docx", "A 14348-2025")</f>
        <v/>
      </c>
      <c r="X43">
        <f>HYPERLINK("https://klasma.github.io/Logging_2404/tillsyn/A 14348-2025 tillsynsbegäran.docx", "A 14348-2025")</f>
        <v/>
      </c>
      <c r="Y43">
        <f>HYPERLINK("https://klasma.github.io/Logging_2404/tillsynsmail/A 14348-2025 tillsynsbegäran mail.docx", "A 14348-2025")</f>
        <v/>
      </c>
    </row>
    <row r="44" ht="15" customHeight="1">
      <c r="A44" t="inlineStr">
        <is>
          <t>A 13034-2024</t>
        </is>
      </c>
      <c r="B44" s="1" t="n">
        <v>45385</v>
      </c>
      <c r="C44" s="1" t="n">
        <v>46197</v>
      </c>
      <c r="D44" t="inlineStr">
        <is>
          <t>VÄSTERBOTTENS LÄN</t>
        </is>
      </c>
      <c r="E44" t="inlineStr">
        <is>
          <t>VINDELN</t>
        </is>
      </c>
      <c r="G44" t="n">
        <v>11.7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Ullticka
Stor aspticka
Spillkråka</t>
        </is>
      </c>
      <c r="S44">
        <f>HYPERLINK("https://klasma.github.io/Logging_2404/artfynd/A 13034-2024 artfynd.xlsx", "A 13034-2024")</f>
        <v/>
      </c>
      <c r="T44">
        <f>HYPERLINK("https://klasma.github.io/Logging_2404/kartor/A 13034-2024 karta.png", "A 13034-2024")</f>
        <v/>
      </c>
      <c r="V44">
        <f>HYPERLINK("https://klasma.github.io/Logging_2404/klagomål/A 13034-2024 FSC-klagomål.docx", "A 13034-2024")</f>
        <v/>
      </c>
      <c r="W44">
        <f>HYPERLINK("https://klasma.github.io/Logging_2404/klagomålsmail/A 13034-2024 FSC-klagomål mail.docx", "A 13034-2024")</f>
        <v/>
      </c>
      <c r="X44">
        <f>HYPERLINK("https://klasma.github.io/Logging_2404/tillsyn/A 13034-2024 tillsynsbegäran.docx", "A 13034-2024")</f>
        <v/>
      </c>
      <c r="Y44">
        <f>HYPERLINK("https://klasma.github.io/Logging_2404/tillsynsmail/A 13034-2024 tillsynsbegäran mail.docx", "A 13034-2024")</f>
        <v/>
      </c>
      <c r="Z44">
        <f>HYPERLINK("https://klasma.github.io/Logging_2404/fåglar/A 13034-2024 prioriterade fågelarter.docx", "A 13034-2024")</f>
        <v/>
      </c>
    </row>
    <row r="45" ht="15" customHeight="1">
      <c r="A45" t="inlineStr">
        <is>
          <t>A 27665-2025</t>
        </is>
      </c>
      <c r="B45" s="1" t="n">
        <v>45813</v>
      </c>
      <c r="C45" s="1" t="n">
        <v>46197</v>
      </c>
      <c r="D45" t="inlineStr">
        <is>
          <t>VÄSTERBOTTENS LÄN</t>
        </is>
      </c>
      <c r="E45" t="inlineStr">
        <is>
          <t>VINDELN</t>
        </is>
      </c>
      <c r="F45" t="inlineStr">
        <is>
          <t>Holmen skog AB</t>
        </is>
      </c>
      <c r="G45" t="n">
        <v>5.7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Skarp dropptaggsvamp
Mindre märgborre</t>
        </is>
      </c>
      <c r="S45">
        <f>HYPERLINK("https://klasma.github.io/Logging_2404/artfynd/A 27665-2025 artfynd.xlsx", "A 27665-2025")</f>
        <v/>
      </c>
      <c r="T45">
        <f>HYPERLINK("https://klasma.github.io/Logging_2404/kartor/A 27665-2025 karta.png", "A 27665-2025")</f>
        <v/>
      </c>
      <c r="V45">
        <f>HYPERLINK("https://klasma.github.io/Logging_2404/klagomål/A 27665-2025 FSC-klagomål.docx", "A 27665-2025")</f>
        <v/>
      </c>
      <c r="W45">
        <f>HYPERLINK("https://klasma.github.io/Logging_2404/klagomålsmail/A 27665-2025 FSC-klagomål mail.docx", "A 27665-2025")</f>
        <v/>
      </c>
      <c r="X45">
        <f>HYPERLINK("https://klasma.github.io/Logging_2404/tillsyn/A 27665-2025 tillsynsbegäran.docx", "A 27665-2025")</f>
        <v/>
      </c>
      <c r="Y45">
        <f>HYPERLINK("https://klasma.github.io/Logging_2404/tillsynsmail/A 27665-2025 tillsynsbegäran mail.docx", "A 27665-2025")</f>
        <v/>
      </c>
    </row>
    <row r="46" ht="15" customHeight="1">
      <c r="A46" t="inlineStr">
        <is>
          <t>A 29623-2025</t>
        </is>
      </c>
      <c r="B46" s="1" t="n">
        <v>45825</v>
      </c>
      <c r="C46" s="1" t="n">
        <v>46197</v>
      </c>
      <c r="D46" t="inlineStr">
        <is>
          <t>VÄSTERBOTTENS LÄN</t>
        </is>
      </c>
      <c r="E46" t="inlineStr">
        <is>
          <t>VINDELN</t>
        </is>
      </c>
      <c r="G46" t="n">
        <v>7.2</v>
      </c>
      <c r="H46" t="n">
        <v>2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Lappuggla
Lavskrika</t>
        </is>
      </c>
      <c r="S46">
        <f>HYPERLINK("https://klasma.github.io/Logging_2404/artfynd/A 29623-2025 artfynd.xlsx", "A 29623-2025")</f>
        <v/>
      </c>
      <c r="T46">
        <f>HYPERLINK("https://klasma.github.io/Logging_2404/kartor/A 29623-2025 karta.png", "A 29623-2025")</f>
        <v/>
      </c>
      <c r="V46">
        <f>HYPERLINK("https://klasma.github.io/Logging_2404/klagomål/A 29623-2025 FSC-klagomål.docx", "A 29623-2025")</f>
        <v/>
      </c>
      <c r="W46">
        <f>HYPERLINK("https://klasma.github.io/Logging_2404/klagomålsmail/A 29623-2025 FSC-klagomål mail.docx", "A 29623-2025")</f>
        <v/>
      </c>
      <c r="X46">
        <f>HYPERLINK("https://klasma.github.io/Logging_2404/tillsyn/A 29623-2025 tillsynsbegäran.docx", "A 29623-2025")</f>
        <v/>
      </c>
      <c r="Y46">
        <f>HYPERLINK("https://klasma.github.io/Logging_2404/tillsynsmail/A 29623-2025 tillsynsbegäran mail.docx", "A 29623-2025")</f>
        <v/>
      </c>
      <c r="Z46">
        <f>HYPERLINK("https://klasma.github.io/Logging_2404/fåglar/A 29623-2025 prioriterade fågelarter.docx", "A 29623-2025")</f>
        <v/>
      </c>
    </row>
    <row r="47" ht="15" customHeight="1">
      <c r="A47" t="inlineStr">
        <is>
          <t>A 32245-2025</t>
        </is>
      </c>
      <c r="B47" s="1" t="n">
        <v>45835</v>
      </c>
      <c r="C47" s="1" t="n">
        <v>46197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8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Garnlav
Lunglav</t>
        </is>
      </c>
      <c r="S47">
        <f>HYPERLINK("https://klasma.github.io/Logging_2404/artfynd/A 32245-2025 artfynd.xlsx", "A 32245-2025")</f>
        <v/>
      </c>
      <c r="T47">
        <f>HYPERLINK("https://klasma.github.io/Logging_2404/kartor/A 32245-2025 karta.png", "A 32245-2025")</f>
        <v/>
      </c>
      <c r="V47">
        <f>HYPERLINK("https://klasma.github.io/Logging_2404/klagomål/A 32245-2025 FSC-klagomål.docx", "A 32245-2025")</f>
        <v/>
      </c>
      <c r="W47">
        <f>HYPERLINK("https://klasma.github.io/Logging_2404/klagomålsmail/A 32245-2025 FSC-klagomål mail.docx", "A 32245-2025")</f>
        <v/>
      </c>
      <c r="X47">
        <f>HYPERLINK("https://klasma.github.io/Logging_2404/tillsyn/A 32245-2025 tillsynsbegäran.docx", "A 32245-2025")</f>
        <v/>
      </c>
      <c r="Y47">
        <f>HYPERLINK("https://klasma.github.io/Logging_2404/tillsynsmail/A 32245-2025 tillsynsbegäran mail.docx", "A 32245-2025")</f>
        <v/>
      </c>
    </row>
    <row r="48" ht="15" customHeight="1">
      <c r="A48" t="inlineStr">
        <is>
          <t>A 44708-2025</t>
        </is>
      </c>
      <c r="B48" s="1" t="n">
        <v>45917</v>
      </c>
      <c r="C48" s="1" t="n">
        <v>46197</v>
      </c>
      <c r="D48" t="inlineStr">
        <is>
          <t>VÄSTERBOTTENS LÄN</t>
        </is>
      </c>
      <c r="E48" t="inlineStr">
        <is>
          <t>VINDELN</t>
        </is>
      </c>
      <c r="F48" t="inlineStr">
        <is>
          <t>Holmen skog AB</t>
        </is>
      </c>
      <c r="G48" t="n">
        <v>3.8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Motaggsvamp
Spillkråka</t>
        </is>
      </c>
      <c r="S48">
        <f>HYPERLINK("https://klasma.github.io/Logging_2404/artfynd/A 44708-2025 artfynd.xlsx", "A 44708-2025")</f>
        <v/>
      </c>
      <c r="T48">
        <f>HYPERLINK("https://klasma.github.io/Logging_2404/kartor/A 44708-2025 karta.png", "A 44708-2025")</f>
        <v/>
      </c>
      <c r="V48">
        <f>HYPERLINK("https://klasma.github.io/Logging_2404/klagomål/A 44708-2025 FSC-klagomål.docx", "A 44708-2025")</f>
        <v/>
      </c>
      <c r="W48">
        <f>HYPERLINK("https://klasma.github.io/Logging_2404/klagomålsmail/A 44708-2025 FSC-klagomål mail.docx", "A 44708-2025")</f>
        <v/>
      </c>
      <c r="X48">
        <f>HYPERLINK("https://klasma.github.io/Logging_2404/tillsyn/A 44708-2025 tillsynsbegäran.docx", "A 44708-2025")</f>
        <v/>
      </c>
      <c r="Y48">
        <f>HYPERLINK("https://klasma.github.io/Logging_2404/tillsynsmail/A 44708-2025 tillsynsbegäran mail.docx", "A 44708-2025")</f>
        <v/>
      </c>
      <c r="Z48">
        <f>HYPERLINK("https://klasma.github.io/Logging_2404/fåglar/A 44708-2025 prioriterade fågelarter.docx", "A 44708-2025")</f>
        <v/>
      </c>
    </row>
    <row r="49" ht="15" customHeight="1">
      <c r="A49" t="inlineStr">
        <is>
          <t>A 37257-2023</t>
        </is>
      </c>
      <c r="B49" s="1" t="n">
        <v>45155</v>
      </c>
      <c r="C49" s="1" t="n">
        <v>46197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2.7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Ullticka
Vedticka</t>
        </is>
      </c>
      <c r="S49">
        <f>HYPERLINK("https://klasma.github.io/Logging_2404/artfynd/A 37257-2023 artfynd.xlsx", "A 37257-2023")</f>
        <v/>
      </c>
      <c r="T49">
        <f>HYPERLINK("https://klasma.github.io/Logging_2404/kartor/A 37257-2023 karta.png", "A 37257-2023")</f>
        <v/>
      </c>
      <c r="V49">
        <f>HYPERLINK("https://klasma.github.io/Logging_2404/klagomål/A 37257-2023 FSC-klagomål.docx", "A 37257-2023")</f>
        <v/>
      </c>
      <c r="W49">
        <f>HYPERLINK("https://klasma.github.io/Logging_2404/klagomålsmail/A 37257-2023 FSC-klagomål mail.docx", "A 37257-2023")</f>
        <v/>
      </c>
      <c r="X49">
        <f>HYPERLINK("https://klasma.github.io/Logging_2404/tillsyn/A 37257-2023 tillsynsbegäran.docx", "A 37257-2023")</f>
        <v/>
      </c>
      <c r="Y49">
        <f>HYPERLINK("https://klasma.github.io/Logging_2404/tillsynsmail/A 37257-2023 tillsynsbegäran mail.docx", "A 37257-2023")</f>
        <v/>
      </c>
    </row>
    <row r="50" ht="15" customHeight="1">
      <c r="A50" t="inlineStr">
        <is>
          <t>A 1059-2025</t>
        </is>
      </c>
      <c r="B50" s="1" t="n">
        <v>45666</v>
      </c>
      <c r="C50" s="1" t="n">
        <v>46197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4.4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Garnlav
Talltita</t>
        </is>
      </c>
      <c r="S50">
        <f>HYPERLINK("https://klasma.github.io/Logging_2404/artfynd/A 1059-2025 artfynd.xlsx", "A 1059-2025")</f>
        <v/>
      </c>
      <c r="T50">
        <f>HYPERLINK("https://klasma.github.io/Logging_2404/kartor/A 1059-2025 karta.png", "A 1059-2025")</f>
        <v/>
      </c>
      <c r="V50">
        <f>HYPERLINK("https://klasma.github.io/Logging_2404/klagomål/A 1059-2025 FSC-klagomål.docx", "A 1059-2025")</f>
        <v/>
      </c>
      <c r="W50">
        <f>HYPERLINK("https://klasma.github.io/Logging_2404/klagomålsmail/A 1059-2025 FSC-klagomål mail.docx", "A 1059-2025")</f>
        <v/>
      </c>
      <c r="X50">
        <f>HYPERLINK("https://klasma.github.io/Logging_2404/tillsyn/A 1059-2025 tillsynsbegäran.docx", "A 1059-2025")</f>
        <v/>
      </c>
      <c r="Y50">
        <f>HYPERLINK("https://klasma.github.io/Logging_2404/tillsynsmail/A 1059-2025 tillsynsbegäran mail.docx", "A 1059-2025")</f>
        <v/>
      </c>
      <c r="Z50">
        <f>HYPERLINK("https://klasma.github.io/Logging_2404/fåglar/A 1059-2025 prioriterade fågelarter.docx", "A 1059-2025")</f>
        <v/>
      </c>
    </row>
    <row r="51" ht="15" customHeight="1">
      <c r="A51" t="inlineStr">
        <is>
          <t>A 28732-2024</t>
        </is>
      </c>
      <c r="B51" s="1" t="n">
        <v>45478</v>
      </c>
      <c r="C51" s="1" t="n">
        <v>46197</v>
      </c>
      <c r="D51" t="inlineStr">
        <is>
          <t>VÄSTERBOTTENS LÄN</t>
        </is>
      </c>
      <c r="E51" t="inlineStr">
        <is>
          <t>VINDELN</t>
        </is>
      </c>
      <c r="F51" t="inlineStr">
        <is>
          <t>Holmen skog AB</t>
        </is>
      </c>
      <c r="G51" t="n">
        <v>4.4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Stuplav</t>
        </is>
      </c>
      <c r="S51">
        <f>HYPERLINK("https://klasma.github.io/Logging_2404/artfynd/A 28732-2024 artfynd.xlsx", "A 28732-2024")</f>
        <v/>
      </c>
      <c r="T51">
        <f>HYPERLINK("https://klasma.github.io/Logging_2404/kartor/A 28732-2024 karta.png", "A 28732-2024")</f>
        <v/>
      </c>
      <c r="U51">
        <f>HYPERLINK("https://klasma.github.io/Logging_2404/knärot/A 28732-2024 karta knärot.png", "A 28732-2024")</f>
        <v/>
      </c>
      <c r="V51">
        <f>HYPERLINK("https://klasma.github.io/Logging_2404/klagomål/A 28732-2024 FSC-klagomål.docx", "A 28732-2024")</f>
        <v/>
      </c>
      <c r="W51">
        <f>HYPERLINK("https://klasma.github.io/Logging_2404/klagomålsmail/A 28732-2024 FSC-klagomål mail.docx", "A 28732-2024")</f>
        <v/>
      </c>
      <c r="X51">
        <f>HYPERLINK("https://klasma.github.io/Logging_2404/tillsyn/A 28732-2024 tillsynsbegäran.docx", "A 28732-2024")</f>
        <v/>
      </c>
      <c r="Y51">
        <f>HYPERLINK("https://klasma.github.io/Logging_2404/tillsynsmail/A 28732-2024 tillsynsbegäran mail.docx", "A 28732-2024")</f>
        <v/>
      </c>
    </row>
    <row r="52" ht="15" customHeight="1">
      <c r="A52" t="inlineStr">
        <is>
          <t>A 11378-2026</t>
        </is>
      </c>
      <c r="B52" s="1" t="n">
        <v>46083</v>
      </c>
      <c r="C52" s="1" t="n">
        <v>46197</v>
      </c>
      <c r="D52" t="inlineStr">
        <is>
          <t>VÄSTERBOTTENS LÄN</t>
        </is>
      </c>
      <c r="E52" t="inlineStr">
        <is>
          <t>VINDELN</t>
        </is>
      </c>
      <c r="G52" t="n">
        <v>4.5</v>
      </c>
      <c r="H52" t="n">
        <v>2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Korallrot
Buskskvätta</t>
        </is>
      </c>
      <c r="S52">
        <f>HYPERLINK("https://klasma.github.io/Logging_2404/artfynd/A 11378-2026 artfynd.xlsx", "A 11378-2026")</f>
        <v/>
      </c>
      <c r="T52">
        <f>HYPERLINK("https://klasma.github.io/Logging_2404/kartor/A 11378-2026 karta.png", "A 11378-2026")</f>
        <v/>
      </c>
      <c r="V52">
        <f>HYPERLINK("https://klasma.github.io/Logging_2404/klagomål/A 11378-2026 FSC-klagomål.docx", "A 11378-2026")</f>
        <v/>
      </c>
      <c r="W52">
        <f>HYPERLINK("https://klasma.github.io/Logging_2404/klagomålsmail/A 11378-2026 FSC-klagomål mail.docx", "A 11378-2026")</f>
        <v/>
      </c>
      <c r="X52">
        <f>HYPERLINK("https://klasma.github.io/Logging_2404/tillsyn/A 11378-2026 tillsynsbegäran.docx", "A 11378-2026")</f>
        <v/>
      </c>
      <c r="Y52">
        <f>HYPERLINK("https://klasma.github.io/Logging_2404/tillsynsmail/A 11378-2026 tillsynsbegäran mail.docx", "A 11378-2026")</f>
        <v/>
      </c>
    </row>
    <row r="53" ht="15" customHeight="1">
      <c r="A53" t="inlineStr">
        <is>
          <t>A 54363-2024</t>
        </is>
      </c>
      <c r="B53" s="1" t="n">
        <v>45617</v>
      </c>
      <c r="C53" s="1" t="n">
        <v>46197</v>
      </c>
      <c r="D53" t="inlineStr">
        <is>
          <t>VÄSTERBOTTENS LÄN</t>
        </is>
      </c>
      <c r="E53" t="inlineStr">
        <is>
          <t>VINDELN</t>
        </is>
      </c>
      <c r="F53" t="inlineStr">
        <is>
          <t>Holmen skog AB</t>
        </is>
      </c>
      <c r="G53" t="n">
        <v>5.2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Skinnlav
Vedticka</t>
        </is>
      </c>
      <c r="S53">
        <f>HYPERLINK("https://klasma.github.io/Logging_2404/artfynd/A 54363-2024 artfynd.xlsx", "A 54363-2024")</f>
        <v/>
      </c>
      <c r="T53">
        <f>HYPERLINK("https://klasma.github.io/Logging_2404/kartor/A 54363-2024 karta.png", "A 54363-2024")</f>
        <v/>
      </c>
      <c r="V53">
        <f>HYPERLINK("https://klasma.github.io/Logging_2404/klagomål/A 54363-2024 FSC-klagomål.docx", "A 54363-2024")</f>
        <v/>
      </c>
      <c r="W53">
        <f>HYPERLINK("https://klasma.github.io/Logging_2404/klagomålsmail/A 54363-2024 FSC-klagomål mail.docx", "A 54363-2024")</f>
        <v/>
      </c>
      <c r="X53">
        <f>HYPERLINK("https://klasma.github.io/Logging_2404/tillsyn/A 54363-2024 tillsynsbegäran.docx", "A 54363-2024")</f>
        <v/>
      </c>
      <c r="Y53">
        <f>HYPERLINK("https://klasma.github.io/Logging_2404/tillsynsmail/A 54363-2024 tillsynsbegäran mail.docx", "A 54363-2024")</f>
        <v/>
      </c>
    </row>
    <row r="54" ht="15" customHeight="1">
      <c r="A54" t="inlineStr">
        <is>
          <t>A 62578-2022</t>
        </is>
      </c>
      <c r="B54" s="1" t="n">
        <v>44924</v>
      </c>
      <c r="C54" s="1" t="n">
        <v>46197</v>
      </c>
      <c r="D54" t="inlineStr">
        <is>
          <t>VÄSTERBOTTENS LÄN</t>
        </is>
      </c>
      <c r="E54" t="inlineStr">
        <is>
          <t>VINDELN</t>
        </is>
      </c>
      <c r="G54" t="n">
        <v>4.6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Göktyta
Tretåig hackspett</t>
        </is>
      </c>
      <c r="S54">
        <f>HYPERLINK("https://klasma.github.io/Logging_2404/artfynd/A 62578-2022 artfynd.xlsx", "A 62578-2022")</f>
        <v/>
      </c>
      <c r="T54">
        <f>HYPERLINK("https://klasma.github.io/Logging_2404/kartor/A 62578-2022 karta.png", "A 62578-2022")</f>
        <v/>
      </c>
      <c r="V54">
        <f>HYPERLINK("https://klasma.github.io/Logging_2404/klagomål/A 62578-2022 FSC-klagomål.docx", "A 62578-2022")</f>
        <v/>
      </c>
      <c r="W54">
        <f>HYPERLINK("https://klasma.github.io/Logging_2404/klagomålsmail/A 62578-2022 FSC-klagomål mail.docx", "A 62578-2022")</f>
        <v/>
      </c>
      <c r="X54">
        <f>HYPERLINK("https://klasma.github.io/Logging_2404/tillsyn/A 62578-2022 tillsynsbegäran.docx", "A 62578-2022")</f>
        <v/>
      </c>
      <c r="Y54">
        <f>HYPERLINK("https://klasma.github.io/Logging_2404/tillsynsmail/A 62578-2022 tillsynsbegäran mail.docx", "A 62578-2022")</f>
        <v/>
      </c>
      <c r="Z54">
        <f>HYPERLINK("https://klasma.github.io/Logging_2404/fåglar/A 62578-2022 prioriterade fågelarter.docx", "A 62578-2022")</f>
        <v/>
      </c>
    </row>
    <row r="55" ht="15" customHeight="1">
      <c r="A55" t="inlineStr">
        <is>
          <t>A 35915-2023</t>
        </is>
      </c>
      <c r="B55" s="1" t="n">
        <v>45148</v>
      </c>
      <c r="C55" s="1" t="n">
        <v>46197</v>
      </c>
      <c r="D55" t="inlineStr">
        <is>
          <t>VÄSTERBOTTENS LÄN</t>
        </is>
      </c>
      <c r="E55" t="inlineStr">
        <is>
          <t>VINDELN</t>
        </is>
      </c>
      <c r="G55" t="n">
        <v>1.8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Järpe
Tjäder</t>
        </is>
      </c>
      <c r="S55">
        <f>HYPERLINK("https://klasma.github.io/Logging_2404/artfynd/A 35915-2023 artfynd.xlsx", "A 35915-2023")</f>
        <v/>
      </c>
      <c r="T55">
        <f>HYPERLINK("https://klasma.github.io/Logging_2404/kartor/A 35915-2023 karta.png", "A 35915-2023")</f>
        <v/>
      </c>
      <c r="V55">
        <f>HYPERLINK("https://klasma.github.io/Logging_2404/klagomål/A 35915-2023 FSC-klagomål.docx", "A 35915-2023")</f>
        <v/>
      </c>
      <c r="W55">
        <f>HYPERLINK("https://klasma.github.io/Logging_2404/klagomålsmail/A 35915-2023 FSC-klagomål mail.docx", "A 35915-2023")</f>
        <v/>
      </c>
      <c r="X55">
        <f>HYPERLINK("https://klasma.github.io/Logging_2404/tillsyn/A 35915-2023 tillsynsbegäran.docx", "A 35915-2023")</f>
        <v/>
      </c>
      <c r="Y55">
        <f>HYPERLINK("https://klasma.github.io/Logging_2404/tillsynsmail/A 35915-2023 tillsynsbegäran mail.docx", "A 35915-2023")</f>
        <v/>
      </c>
      <c r="Z55">
        <f>HYPERLINK("https://klasma.github.io/Logging_2404/fåglar/A 35915-2023 prioriterade fågelarter.docx", "A 35915-2023")</f>
        <v/>
      </c>
    </row>
    <row r="56" ht="15" customHeight="1">
      <c r="A56" t="inlineStr">
        <is>
          <t>A 59903-2023</t>
        </is>
      </c>
      <c r="B56" s="1" t="n">
        <v>45254</v>
      </c>
      <c r="C56" s="1" t="n">
        <v>46197</v>
      </c>
      <c r="D56" t="inlineStr">
        <is>
          <t>VÄSTERBOTTENS LÄN</t>
        </is>
      </c>
      <c r="E56" t="inlineStr">
        <is>
          <t>VINDELN</t>
        </is>
      </c>
      <c r="G56" t="n">
        <v>5.9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Mörk kolflarnlav</t>
        </is>
      </c>
      <c r="S56">
        <f>HYPERLINK("https://klasma.github.io/Logging_2404/artfynd/A 59903-2023 artfynd.xlsx", "A 59903-2023")</f>
        <v/>
      </c>
      <c r="T56">
        <f>HYPERLINK("https://klasma.github.io/Logging_2404/kartor/A 59903-2023 karta.png", "A 59903-2023")</f>
        <v/>
      </c>
      <c r="U56">
        <f>HYPERLINK("https://klasma.github.io/Logging_2404/knärot/A 59903-2023 karta knärot.png", "A 59903-2023")</f>
        <v/>
      </c>
      <c r="V56">
        <f>HYPERLINK("https://klasma.github.io/Logging_2404/klagomål/A 59903-2023 FSC-klagomål.docx", "A 59903-2023")</f>
        <v/>
      </c>
      <c r="W56">
        <f>HYPERLINK("https://klasma.github.io/Logging_2404/klagomålsmail/A 59903-2023 FSC-klagomål mail.docx", "A 59903-2023")</f>
        <v/>
      </c>
      <c r="X56">
        <f>HYPERLINK("https://klasma.github.io/Logging_2404/tillsyn/A 59903-2023 tillsynsbegäran.docx", "A 59903-2023")</f>
        <v/>
      </c>
      <c r="Y56">
        <f>HYPERLINK("https://klasma.github.io/Logging_2404/tillsynsmail/A 59903-2023 tillsynsbegäran mail.docx", "A 59903-2023")</f>
        <v/>
      </c>
    </row>
    <row r="57" ht="15" customHeight="1">
      <c r="A57" t="inlineStr">
        <is>
          <t>A 59939-2023</t>
        </is>
      </c>
      <c r="B57" s="1" t="n">
        <v>45254</v>
      </c>
      <c r="C57" s="1" t="n">
        <v>46197</v>
      </c>
      <c r="D57" t="inlineStr">
        <is>
          <t>VÄSTERBOTTENS LÄN</t>
        </is>
      </c>
      <c r="E57" t="inlineStr">
        <is>
          <t>VINDELN</t>
        </is>
      </c>
      <c r="G57" t="n">
        <v>9.300000000000001</v>
      </c>
      <c r="H57" t="n">
        <v>0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Garnlav
Ullticka</t>
        </is>
      </c>
      <c r="S57">
        <f>HYPERLINK("https://klasma.github.io/Logging_2404/artfynd/A 59939-2023 artfynd.xlsx", "A 59939-2023")</f>
        <v/>
      </c>
      <c r="T57">
        <f>HYPERLINK("https://klasma.github.io/Logging_2404/kartor/A 59939-2023 karta.png", "A 59939-2023")</f>
        <v/>
      </c>
      <c r="V57">
        <f>HYPERLINK("https://klasma.github.io/Logging_2404/klagomål/A 59939-2023 FSC-klagomål.docx", "A 59939-2023")</f>
        <v/>
      </c>
      <c r="W57">
        <f>HYPERLINK("https://klasma.github.io/Logging_2404/klagomålsmail/A 59939-2023 FSC-klagomål mail.docx", "A 59939-2023")</f>
        <v/>
      </c>
      <c r="X57">
        <f>HYPERLINK("https://klasma.github.io/Logging_2404/tillsyn/A 59939-2023 tillsynsbegäran.docx", "A 59939-2023")</f>
        <v/>
      </c>
      <c r="Y57">
        <f>HYPERLINK("https://klasma.github.io/Logging_2404/tillsynsmail/A 59939-2023 tillsynsbegäran mail.docx", "A 59939-2023")</f>
        <v/>
      </c>
    </row>
    <row r="58" ht="15" customHeight="1">
      <c r="A58" t="inlineStr">
        <is>
          <t>A 23750-2025</t>
        </is>
      </c>
      <c r="B58" s="1" t="n">
        <v>45793</v>
      </c>
      <c r="C58" s="1" t="n">
        <v>46197</v>
      </c>
      <c r="D58" t="inlineStr">
        <is>
          <t>VÄSTERBOTTENS LÄN</t>
        </is>
      </c>
      <c r="E58" t="inlineStr">
        <is>
          <t>VINDELN</t>
        </is>
      </c>
      <c r="G58" t="n">
        <v>1.4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Garnlav
Spillkråka</t>
        </is>
      </c>
      <c r="S58">
        <f>HYPERLINK("https://klasma.github.io/Logging_2404/artfynd/A 23750-2025 artfynd.xlsx", "A 23750-2025")</f>
        <v/>
      </c>
      <c r="T58">
        <f>HYPERLINK("https://klasma.github.io/Logging_2404/kartor/A 23750-2025 karta.png", "A 23750-2025")</f>
        <v/>
      </c>
      <c r="V58">
        <f>HYPERLINK("https://klasma.github.io/Logging_2404/klagomål/A 23750-2025 FSC-klagomål.docx", "A 23750-2025")</f>
        <v/>
      </c>
      <c r="W58">
        <f>HYPERLINK("https://klasma.github.io/Logging_2404/klagomålsmail/A 23750-2025 FSC-klagomål mail.docx", "A 23750-2025")</f>
        <v/>
      </c>
      <c r="X58">
        <f>HYPERLINK("https://klasma.github.io/Logging_2404/tillsyn/A 23750-2025 tillsynsbegäran.docx", "A 23750-2025")</f>
        <v/>
      </c>
      <c r="Y58">
        <f>HYPERLINK("https://klasma.github.io/Logging_2404/tillsynsmail/A 23750-2025 tillsynsbegäran mail.docx", "A 23750-2025")</f>
        <v/>
      </c>
      <c r="Z58">
        <f>HYPERLINK("https://klasma.github.io/Logging_2404/fåglar/A 23750-2025 prioriterade fågelarter.docx", "A 23750-2025")</f>
        <v/>
      </c>
    </row>
    <row r="59" ht="15" customHeight="1">
      <c r="A59" t="inlineStr">
        <is>
          <t>A 50646-2024</t>
        </is>
      </c>
      <c r="B59" s="1" t="n">
        <v>45601</v>
      </c>
      <c r="C59" s="1" t="n">
        <v>46197</v>
      </c>
      <c r="D59" t="inlineStr">
        <is>
          <t>VÄSTERBOTTENS LÄN</t>
        </is>
      </c>
      <c r="E59" t="inlineStr">
        <is>
          <t>VINDELN</t>
        </is>
      </c>
      <c r="G59" t="n">
        <v>8.300000000000001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HYPERLINK("https://klasma.github.io/Logging_2404/artfynd/A 50646-2024 artfynd.xlsx", "A 50646-2024")</f>
        <v/>
      </c>
      <c r="T59">
        <f>HYPERLINK("https://klasma.github.io/Logging_2404/kartor/A 50646-2024 karta.png", "A 50646-2024")</f>
        <v/>
      </c>
      <c r="V59">
        <f>HYPERLINK("https://klasma.github.io/Logging_2404/klagomål/A 50646-2024 FSC-klagomål.docx", "A 50646-2024")</f>
        <v/>
      </c>
      <c r="W59">
        <f>HYPERLINK("https://klasma.github.io/Logging_2404/klagomålsmail/A 50646-2024 FSC-klagomål mail.docx", "A 50646-2024")</f>
        <v/>
      </c>
      <c r="X59">
        <f>HYPERLINK("https://klasma.github.io/Logging_2404/tillsyn/A 50646-2024 tillsynsbegäran.docx", "A 50646-2024")</f>
        <v/>
      </c>
      <c r="Y59">
        <f>HYPERLINK("https://klasma.github.io/Logging_2404/tillsynsmail/A 50646-2024 tillsynsbegäran mail.docx", "A 50646-2024")</f>
        <v/>
      </c>
    </row>
    <row r="60" ht="15" customHeight="1">
      <c r="A60" t="inlineStr">
        <is>
          <t>A 29611-2025</t>
        </is>
      </c>
      <c r="B60" s="1" t="n">
        <v>45825</v>
      </c>
      <c r="C60" s="1" t="n">
        <v>46197</v>
      </c>
      <c r="D60" t="inlineStr">
        <is>
          <t>VÄSTERBOTTENS LÄN</t>
        </is>
      </c>
      <c r="E60" t="inlineStr">
        <is>
          <t>VINDELN</t>
        </is>
      </c>
      <c r="G60" t="n">
        <v>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Slaguggla</t>
        </is>
      </c>
      <c r="S60">
        <f>HYPERLINK("https://klasma.github.io/Logging_2404/artfynd/A 29611-2025 artfynd.xlsx", "A 29611-2025")</f>
        <v/>
      </c>
      <c r="T60">
        <f>HYPERLINK("https://klasma.github.io/Logging_2404/kartor/A 29611-2025 karta.png", "A 29611-2025")</f>
        <v/>
      </c>
      <c r="V60">
        <f>HYPERLINK("https://klasma.github.io/Logging_2404/klagomål/A 29611-2025 FSC-klagomål.docx", "A 29611-2025")</f>
        <v/>
      </c>
      <c r="W60">
        <f>HYPERLINK("https://klasma.github.io/Logging_2404/klagomålsmail/A 29611-2025 FSC-klagomål mail.docx", "A 29611-2025")</f>
        <v/>
      </c>
      <c r="X60">
        <f>HYPERLINK("https://klasma.github.io/Logging_2404/tillsyn/A 29611-2025 tillsynsbegäran.docx", "A 29611-2025")</f>
        <v/>
      </c>
      <c r="Y60">
        <f>HYPERLINK("https://klasma.github.io/Logging_2404/tillsynsmail/A 29611-2025 tillsynsbegäran mail.docx", "A 29611-2025")</f>
        <v/>
      </c>
      <c r="Z60">
        <f>HYPERLINK("https://klasma.github.io/Logging_2404/fåglar/A 29611-2025 prioriterade fågelarter.docx", "A 29611-2025")</f>
        <v/>
      </c>
    </row>
    <row r="61" ht="15" customHeight="1">
      <c r="A61" t="inlineStr">
        <is>
          <t>A 30923-2025</t>
        </is>
      </c>
      <c r="B61" s="1" t="n">
        <v>45832</v>
      </c>
      <c r="C61" s="1" t="n">
        <v>46197</v>
      </c>
      <c r="D61" t="inlineStr">
        <is>
          <t>VÄSTERBOTTENS LÄN</t>
        </is>
      </c>
      <c r="E61" t="inlineStr">
        <is>
          <t>VINDELN</t>
        </is>
      </c>
      <c r="G61" t="n">
        <v>4.6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Goliatmusseron</t>
        </is>
      </c>
      <c r="S61">
        <f>HYPERLINK("https://klasma.github.io/Logging_2404/artfynd/A 30923-2025 artfynd.xlsx", "A 30923-2025")</f>
        <v/>
      </c>
      <c r="T61">
        <f>HYPERLINK("https://klasma.github.io/Logging_2404/kartor/A 30923-2025 karta.png", "A 30923-2025")</f>
        <v/>
      </c>
      <c r="V61">
        <f>HYPERLINK("https://klasma.github.io/Logging_2404/klagomål/A 30923-2025 FSC-klagomål.docx", "A 30923-2025")</f>
        <v/>
      </c>
      <c r="W61">
        <f>HYPERLINK("https://klasma.github.io/Logging_2404/klagomålsmail/A 30923-2025 FSC-klagomål mail.docx", "A 30923-2025")</f>
        <v/>
      </c>
      <c r="X61">
        <f>HYPERLINK("https://klasma.github.io/Logging_2404/tillsyn/A 30923-2025 tillsynsbegäran.docx", "A 30923-2025")</f>
        <v/>
      </c>
      <c r="Y61">
        <f>HYPERLINK("https://klasma.github.io/Logging_2404/tillsynsmail/A 30923-2025 tillsynsbegäran mail.docx", "A 30923-2025")</f>
        <v/>
      </c>
    </row>
    <row r="62" ht="15" customHeight="1">
      <c r="A62" t="inlineStr">
        <is>
          <t>A 13025-2024</t>
        </is>
      </c>
      <c r="B62" s="1" t="n">
        <v>45385</v>
      </c>
      <c r="C62" s="1" t="n">
        <v>46197</v>
      </c>
      <c r="D62" t="inlineStr">
        <is>
          <t>VÄSTERBOTTENS LÄN</t>
        </is>
      </c>
      <c r="E62" t="inlineStr">
        <is>
          <t>VINDELN</t>
        </is>
      </c>
      <c r="G62" t="n">
        <v>0.8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Utter</t>
        </is>
      </c>
      <c r="S62">
        <f>HYPERLINK("https://klasma.github.io/Logging_2404/artfynd/A 13025-2024 artfynd.xlsx", "A 13025-2024")</f>
        <v/>
      </c>
      <c r="T62">
        <f>HYPERLINK("https://klasma.github.io/Logging_2404/kartor/A 13025-2024 karta.png", "A 13025-2024")</f>
        <v/>
      </c>
      <c r="V62">
        <f>HYPERLINK("https://klasma.github.io/Logging_2404/klagomål/A 13025-2024 FSC-klagomål.docx", "A 13025-2024")</f>
        <v/>
      </c>
      <c r="W62">
        <f>HYPERLINK("https://klasma.github.io/Logging_2404/klagomålsmail/A 13025-2024 FSC-klagomål mail.docx", "A 13025-2024")</f>
        <v/>
      </c>
      <c r="X62">
        <f>HYPERLINK("https://klasma.github.io/Logging_2404/tillsyn/A 13025-2024 tillsynsbegäran.docx", "A 13025-2024")</f>
        <v/>
      </c>
      <c r="Y62">
        <f>HYPERLINK("https://klasma.github.io/Logging_2404/tillsynsmail/A 13025-2024 tillsynsbegäran mail.docx", "A 13025-2024")</f>
        <v/>
      </c>
    </row>
    <row r="63" ht="15" customHeight="1">
      <c r="A63" t="inlineStr">
        <is>
          <t>A 53351-2024</t>
        </is>
      </c>
      <c r="B63" s="1" t="n">
        <v>45614</v>
      </c>
      <c r="C63" s="1" t="n">
        <v>46197</v>
      </c>
      <c r="D63" t="inlineStr">
        <is>
          <t>VÄSTERBOTTENS LÄN</t>
        </is>
      </c>
      <c r="E63" t="inlineStr">
        <is>
          <t>VINDELN</t>
        </is>
      </c>
      <c r="F63" t="inlineStr">
        <is>
          <t>SCA</t>
        </is>
      </c>
      <c r="G63" t="n">
        <v>6.6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Dropptaggsvamp</t>
        </is>
      </c>
      <c r="S63">
        <f>HYPERLINK("https://klasma.github.io/Logging_2404/artfynd/A 53351-2024 artfynd.xlsx", "A 53351-2024")</f>
        <v/>
      </c>
      <c r="T63">
        <f>HYPERLINK("https://klasma.github.io/Logging_2404/kartor/A 53351-2024 karta.png", "A 53351-2024")</f>
        <v/>
      </c>
      <c r="V63">
        <f>HYPERLINK("https://klasma.github.io/Logging_2404/klagomål/A 53351-2024 FSC-klagomål.docx", "A 53351-2024")</f>
        <v/>
      </c>
      <c r="W63">
        <f>HYPERLINK("https://klasma.github.io/Logging_2404/klagomålsmail/A 53351-2024 FSC-klagomål mail.docx", "A 53351-2024")</f>
        <v/>
      </c>
      <c r="X63">
        <f>HYPERLINK("https://klasma.github.io/Logging_2404/tillsyn/A 53351-2024 tillsynsbegäran.docx", "A 53351-2024")</f>
        <v/>
      </c>
      <c r="Y63">
        <f>HYPERLINK("https://klasma.github.io/Logging_2404/tillsynsmail/A 53351-2024 tillsynsbegäran mail.docx", "A 53351-2024")</f>
        <v/>
      </c>
    </row>
    <row r="64" ht="15" customHeight="1">
      <c r="A64" t="inlineStr">
        <is>
          <t>A 53577-2023</t>
        </is>
      </c>
      <c r="B64" s="1" t="n">
        <v>45230</v>
      </c>
      <c r="C64" s="1" t="n">
        <v>46197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4.7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Mörk kolflarnlav</t>
        </is>
      </c>
      <c r="S64">
        <f>HYPERLINK("https://klasma.github.io/Logging_2404/artfynd/A 53577-2023 artfynd.xlsx", "A 53577-2023")</f>
        <v/>
      </c>
      <c r="T64">
        <f>HYPERLINK("https://klasma.github.io/Logging_2404/kartor/A 53577-2023 karta.png", "A 53577-2023")</f>
        <v/>
      </c>
      <c r="V64">
        <f>HYPERLINK("https://klasma.github.io/Logging_2404/klagomål/A 53577-2023 FSC-klagomål.docx", "A 53577-2023")</f>
        <v/>
      </c>
      <c r="W64">
        <f>HYPERLINK("https://klasma.github.io/Logging_2404/klagomålsmail/A 53577-2023 FSC-klagomål mail.docx", "A 53577-2023")</f>
        <v/>
      </c>
      <c r="X64">
        <f>HYPERLINK("https://klasma.github.io/Logging_2404/tillsyn/A 53577-2023 tillsynsbegäran.docx", "A 53577-2023")</f>
        <v/>
      </c>
      <c r="Y64">
        <f>HYPERLINK("https://klasma.github.io/Logging_2404/tillsynsmail/A 53577-2023 tillsynsbegäran mail.docx", "A 53577-2023")</f>
        <v/>
      </c>
    </row>
    <row r="65" ht="15" customHeight="1">
      <c r="A65" t="inlineStr">
        <is>
          <t>A 36155-2025</t>
        </is>
      </c>
      <c r="B65" s="1" t="n">
        <v>45867</v>
      </c>
      <c r="C65" s="1" t="n">
        <v>46197</v>
      </c>
      <c r="D65" t="inlineStr">
        <is>
          <t>VÄSTERBOTTENS LÄN</t>
        </is>
      </c>
      <c r="E65" t="inlineStr">
        <is>
          <t>VINDELN</t>
        </is>
      </c>
      <c r="F65" t="inlineStr">
        <is>
          <t>SCA</t>
        </is>
      </c>
      <c r="G65" t="n">
        <v>7.5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HYPERLINK("https://klasma.github.io/Logging_2404/artfynd/A 36155-2025 artfynd.xlsx", "A 36155-2025")</f>
        <v/>
      </c>
      <c r="T65">
        <f>HYPERLINK("https://klasma.github.io/Logging_2404/kartor/A 36155-2025 karta.png", "A 36155-2025")</f>
        <v/>
      </c>
      <c r="V65">
        <f>HYPERLINK("https://klasma.github.io/Logging_2404/klagomål/A 36155-2025 FSC-klagomål.docx", "A 36155-2025")</f>
        <v/>
      </c>
      <c r="W65">
        <f>HYPERLINK("https://klasma.github.io/Logging_2404/klagomålsmail/A 36155-2025 FSC-klagomål mail.docx", "A 36155-2025")</f>
        <v/>
      </c>
      <c r="X65">
        <f>HYPERLINK("https://klasma.github.io/Logging_2404/tillsyn/A 36155-2025 tillsynsbegäran.docx", "A 36155-2025")</f>
        <v/>
      </c>
      <c r="Y65">
        <f>HYPERLINK("https://klasma.github.io/Logging_2404/tillsynsmail/A 36155-2025 tillsynsbegäran mail.docx", "A 36155-2025")</f>
        <v/>
      </c>
      <c r="Z65">
        <f>HYPERLINK("https://klasma.github.io/Logging_2404/fåglar/A 36155-2025 prioriterade fågelarter.docx", "A 36155-2025")</f>
        <v/>
      </c>
    </row>
    <row r="66" ht="15" customHeight="1">
      <c r="A66" t="inlineStr">
        <is>
          <t>A 48198-2025</t>
        </is>
      </c>
      <c r="B66" s="1" t="n">
        <v>45933</v>
      </c>
      <c r="C66" s="1" t="n">
        <v>46197</v>
      </c>
      <c r="D66" t="inlineStr">
        <is>
          <t>VÄSTERBOTTENS LÄN</t>
        </is>
      </c>
      <c r="E66" t="inlineStr">
        <is>
          <t>VINDELN</t>
        </is>
      </c>
      <c r="G66" t="n">
        <v>2.9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HYPERLINK("https://klasma.github.io/Logging_2404/artfynd/A 48198-2025 artfynd.xlsx", "A 48198-2025")</f>
        <v/>
      </c>
      <c r="T66">
        <f>HYPERLINK("https://klasma.github.io/Logging_2404/kartor/A 48198-2025 karta.png", "A 48198-2025")</f>
        <v/>
      </c>
      <c r="V66">
        <f>HYPERLINK("https://klasma.github.io/Logging_2404/klagomål/A 48198-2025 FSC-klagomål.docx", "A 48198-2025")</f>
        <v/>
      </c>
      <c r="W66">
        <f>HYPERLINK("https://klasma.github.io/Logging_2404/klagomålsmail/A 48198-2025 FSC-klagomål mail.docx", "A 48198-2025")</f>
        <v/>
      </c>
      <c r="X66">
        <f>HYPERLINK("https://klasma.github.io/Logging_2404/tillsyn/A 48198-2025 tillsynsbegäran.docx", "A 48198-2025")</f>
        <v/>
      </c>
      <c r="Y66">
        <f>HYPERLINK("https://klasma.github.io/Logging_2404/tillsynsmail/A 48198-2025 tillsynsbegäran mail.docx", "A 48198-2025")</f>
        <v/>
      </c>
    </row>
    <row r="67" ht="15" customHeight="1">
      <c r="A67" t="inlineStr">
        <is>
          <t>A 37130-2025</t>
        </is>
      </c>
      <c r="B67" s="1" t="n">
        <v>45875</v>
      </c>
      <c r="C67" s="1" t="n">
        <v>46197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14.3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HYPERLINK("https://klasma.github.io/Logging_2404/artfynd/A 37130-2025 artfynd.xlsx", "A 37130-2025")</f>
        <v/>
      </c>
      <c r="T67">
        <f>HYPERLINK("https://klasma.github.io/Logging_2404/kartor/A 37130-2025 karta.png", "A 37130-2025")</f>
        <v/>
      </c>
      <c r="V67">
        <f>HYPERLINK("https://klasma.github.io/Logging_2404/klagomål/A 37130-2025 FSC-klagomål.docx", "A 37130-2025")</f>
        <v/>
      </c>
      <c r="W67">
        <f>HYPERLINK("https://klasma.github.io/Logging_2404/klagomålsmail/A 37130-2025 FSC-klagomål mail.docx", "A 37130-2025")</f>
        <v/>
      </c>
      <c r="X67">
        <f>HYPERLINK("https://klasma.github.io/Logging_2404/tillsyn/A 37130-2025 tillsynsbegäran.docx", "A 37130-2025")</f>
        <v/>
      </c>
      <c r="Y67">
        <f>HYPERLINK("https://klasma.github.io/Logging_2404/tillsynsmail/A 37130-2025 tillsynsbegäran mail.docx", "A 37130-2025")</f>
        <v/>
      </c>
    </row>
    <row r="68" ht="15" customHeight="1">
      <c r="A68" t="inlineStr">
        <is>
          <t>A 50292-2025</t>
        </is>
      </c>
      <c r="B68" s="1" t="n">
        <v>45944</v>
      </c>
      <c r="C68" s="1" t="n">
        <v>46197</v>
      </c>
      <c r="D68" t="inlineStr">
        <is>
          <t>VÄSTERBOTTENS LÄN</t>
        </is>
      </c>
      <c r="E68" t="inlineStr">
        <is>
          <t>VINDELN</t>
        </is>
      </c>
      <c r="G68" t="n">
        <v>10.1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HYPERLINK("https://klasma.github.io/Logging_2404/artfynd/A 50292-2025 artfynd.xlsx", "A 50292-2025")</f>
        <v/>
      </c>
      <c r="T68">
        <f>HYPERLINK("https://klasma.github.io/Logging_2404/kartor/A 50292-2025 karta.png", "A 50292-2025")</f>
        <v/>
      </c>
      <c r="V68">
        <f>HYPERLINK("https://klasma.github.io/Logging_2404/klagomål/A 50292-2025 FSC-klagomål.docx", "A 50292-2025")</f>
        <v/>
      </c>
      <c r="W68">
        <f>HYPERLINK("https://klasma.github.io/Logging_2404/klagomålsmail/A 50292-2025 FSC-klagomål mail.docx", "A 50292-2025")</f>
        <v/>
      </c>
      <c r="X68">
        <f>HYPERLINK("https://klasma.github.io/Logging_2404/tillsyn/A 50292-2025 tillsynsbegäran.docx", "A 50292-2025")</f>
        <v/>
      </c>
      <c r="Y68">
        <f>HYPERLINK("https://klasma.github.io/Logging_2404/tillsynsmail/A 50292-2025 tillsynsbegäran mail.docx", "A 50292-2025")</f>
        <v/>
      </c>
      <c r="Z68">
        <f>HYPERLINK("https://klasma.github.io/Logging_2404/fåglar/A 50292-2025 prioriterade fågelarter.docx", "A 50292-2025")</f>
        <v/>
      </c>
    </row>
    <row r="69" ht="15" customHeight="1">
      <c r="A69" t="inlineStr">
        <is>
          <t>A 9217-2026</t>
        </is>
      </c>
      <c r="B69" s="1" t="n">
        <v>46070</v>
      </c>
      <c r="C69" s="1" t="n">
        <v>46197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Garnlav</t>
        </is>
      </c>
      <c r="S69">
        <f>HYPERLINK("https://klasma.github.io/Logging_2404/artfynd/A 9217-2026 artfynd.xlsx", "A 9217-2026")</f>
        <v/>
      </c>
      <c r="T69">
        <f>HYPERLINK("https://klasma.github.io/Logging_2404/kartor/A 9217-2026 karta.png", "A 9217-2026")</f>
        <v/>
      </c>
      <c r="V69">
        <f>HYPERLINK("https://klasma.github.io/Logging_2404/klagomål/A 9217-2026 FSC-klagomål.docx", "A 9217-2026")</f>
        <v/>
      </c>
      <c r="W69">
        <f>HYPERLINK("https://klasma.github.io/Logging_2404/klagomålsmail/A 9217-2026 FSC-klagomål mail.docx", "A 9217-2026")</f>
        <v/>
      </c>
      <c r="X69">
        <f>HYPERLINK("https://klasma.github.io/Logging_2404/tillsyn/A 9217-2026 tillsynsbegäran.docx", "A 9217-2026")</f>
        <v/>
      </c>
      <c r="Y69">
        <f>HYPERLINK("https://klasma.github.io/Logging_2404/tillsynsmail/A 9217-2026 tillsynsbegäran mail.docx", "A 9217-2026")</f>
        <v/>
      </c>
    </row>
    <row r="70" ht="15" customHeight="1">
      <c r="A70" t="inlineStr">
        <is>
          <t>A 10589-2026</t>
        </is>
      </c>
      <c r="B70" s="1" t="n">
        <v>46077</v>
      </c>
      <c r="C70" s="1" t="n">
        <v>46197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28.3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HYPERLINK("https://klasma.github.io/Logging_2404/artfynd/A 10589-2026 artfynd.xlsx", "A 10589-2026")</f>
        <v/>
      </c>
      <c r="T70">
        <f>HYPERLINK("https://klasma.github.io/Logging_2404/kartor/A 10589-2026 karta.png", "A 10589-2026")</f>
        <v/>
      </c>
      <c r="V70">
        <f>HYPERLINK("https://klasma.github.io/Logging_2404/klagomål/A 10589-2026 FSC-klagomål.docx", "A 10589-2026")</f>
        <v/>
      </c>
      <c r="W70">
        <f>HYPERLINK("https://klasma.github.io/Logging_2404/klagomålsmail/A 10589-2026 FSC-klagomål mail.docx", "A 10589-2026")</f>
        <v/>
      </c>
      <c r="X70">
        <f>HYPERLINK("https://klasma.github.io/Logging_2404/tillsyn/A 10589-2026 tillsynsbegäran.docx", "A 10589-2026")</f>
        <v/>
      </c>
      <c r="Y70">
        <f>HYPERLINK("https://klasma.github.io/Logging_2404/tillsynsmail/A 10589-2026 tillsynsbegäran mail.docx", "A 10589-2026")</f>
        <v/>
      </c>
    </row>
    <row r="71" ht="15" customHeight="1">
      <c r="A71" t="inlineStr">
        <is>
          <t>A 37948-2023</t>
        </is>
      </c>
      <c r="B71" s="1" t="n">
        <v>45159</v>
      </c>
      <c r="C71" s="1" t="n">
        <v>46197</v>
      </c>
      <c r="D71" t="inlineStr">
        <is>
          <t>VÄSTERBOTTENS LÄN</t>
        </is>
      </c>
      <c r="E71" t="inlineStr">
        <is>
          <t>VINDELN</t>
        </is>
      </c>
      <c r="G71" t="n">
        <v>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HYPERLINK("https://klasma.github.io/Logging_2404/artfynd/A 37948-2023 artfynd.xlsx", "A 37948-2023")</f>
        <v/>
      </c>
      <c r="T71">
        <f>HYPERLINK("https://klasma.github.io/Logging_2404/kartor/A 37948-2023 karta.png", "A 37948-2023")</f>
        <v/>
      </c>
      <c r="U71">
        <f>HYPERLINK("https://klasma.github.io/Logging_2404/knärot/A 37948-2023 karta knärot.png", "A 37948-2023")</f>
        <v/>
      </c>
      <c r="V71">
        <f>HYPERLINK("https://klasma.github.io/Logging_2404/klagomål/A 37948-2023 FSC-klagomål.docx", "A 37948-2023")</f>
        <v/>
      </c>
      <c r="W71">
        <f>HYPERLINK("https://klasma.github.io/Logging_2404/klagomålsmail/A 37948-2023 FSC-klagomål mail.docx", "A 37948-2023")</f>
        <v/>
      </c>
      <c r="X71">
        <f>HYPERLINK("https://klasma.github.io/Logging_2404/tillsyn/A 37948-2023 tillsynsbegäran.docx", "A 37948-2023")</f>
        <v/>
      </c>
      <c r="Y71">
        <f>HYPERLINK("https://klasma.github.io/Logging_2404/tillsynsmail/A 37948-2023 tillsynsbegäran mail.docx", "A 37948-2023")</f>
        <v/>
      </c>
    </row>
    <row r="72" ht="15" customHeight="1">
      <c r="A72" t="inlineStr">
        <is>
          <t>A 13753-2025</t>
        </is>
      </c>
      <c r="B72" s="1" t="n">
        <v>45737</v>
      </c>
      <c r="C72" s="1" t="n">
        <v>46197</v>
      </c>
      <c r="D72" t="inlineStr">
        <is>
          <t>VÄSTERBOTTENS LÄN</t>
        </is>
      </c>
      <c r="E72" t="inlineStr">
        <is>
          <t>VINDELN</t>
        </is>
      </c>
      <c r="G72" t="n">
        <v>1.9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HYPERLINK("https://klasma.github.io/Logging_2404/artfynd/A 13753-2025 artfynd.xlsx", "A 13753-2025")</f>
        <v/>
      </c>
      <c r="T72">
        <f>HYPERLINK("https://klasma.github.io/Logging_2404/kartor/A 13753-2025 karta.png", "A 13753-2025")</f>
        <v/>
      </c>
      <c r="V72">
        <f>HYPERLINK("https://klasma.github.io/Logging_2404/klagomål/A 13753-2025 FSC-klagomål.docx", "A 13753-2025")</f>
        <v/>
      </c>
      <c r="W72">
        <f>HYPERLINK("https://klasma.github.io/Logging_2404/klagomålsmail/A 13753-2025 FSC-klagomål mail.docx", "A 13753-2025")</f>
        <v/>
      </c>
      <c r="X72">
        <f>HYPERLINK("https://klasma.github.io/Logging_2404/tillsyn/A 13753-2025 tillsynsbegäran.docx", "A 13753-2025")</f>
        <v/>
      </c>
      <c r="Y72">
        <f>HYPERLINK("https://klasma.github.io/Logging_2404/tillsynsmail/A 13753-2025 tillsynsbegäran mail.docx", "A 13753-2025")</f>
        <v/>
      </c>
    </row>
    <row r="73" ht="15" customHeight="1">
      <c r="A73" t="inlineStr">
        <is>
          <t>A 60290-2025</t>
        </is>
      </c>
      <c r="B73" s="1" t="n">
        <v>45994</v>
      </c>
      <c r="C73" s="1" t="n">
        <v>46197</v>
      </c>
      <c r="D73" t="inlineStr">
        <is>
          <t>VÄSTERBOTTENS LÄN</t>
        </is>
      </c>
      <c r="E73" t="inlineStr">
        <is>
          <t>VINDELN</t>
        </is>
      </c>
      <c r="F73" t="inlineStr">
        <is>
          <t>Sveaskog</t>
        </is>
      </c>
      <c r="G73" t="n">
        <v>3.7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Kurragömmamossa</t>
        </is>
      </c>
      <c r="S73">
        <f>HYPERLINK("https://klasma.github.io/Logging_2404/artfynd/A 60290-2025 artfynd.xlsx", "A 60290-2025")</f>
        <v/>
      </c>
      <c r="T73">
        <f>HYPERLINK("https://klasma.github.io/Logging_2404/kartor/A 60290-2025 karta.png", "A 60290-2025")</f>
        <v/>
      </c>
      <c r="V73">
        <f>HYPERLINK("https://klasma.github.io/Logging_2404/klagomål/A 60290-2025 FSC-klagomål.docx", "A 60290-2025")</f>
        <v/>
      </c>
      <c r="W73">
        <f>HYPERLINK("https://klasma.github.io/Logging_2404/klagomålsmail/A 60290-2025 FSC-klagomål mail.docx", "A 60290-2025")</f>
        <v/>
      </c>
      <c r="X73">
        <f>HYPERLINK("https://klasma.github.io/Logging_2404/tillsyn/A 60290-2025 tillsynsbegäran.docx", "A 60290-2025")</f>
        <v/>
      </c>
      <c r="Y73">
        <f>HYPERLINK("https://klasma.github.io/Logging_2404/tillsynsmail/A 60290-2025 tillsynsbegäran mail.docx", "A 60290-2025")</f>
        <v/>
      </c>
    </row>
    <row r="74" ht="15" customHeight="1">
      <c r="A74" t="inlineStr">
        <is>
          <t>A 16999-2026</t>
        </is>
      </c>
      <c r="B74" s="1" t="n">
        <v>46114</v>
      </c>
      <c r="C74" s="1" t="n">
        <v>46197</v>
      </c>
      <c r="D74" t="inlineStr">
        <is>
          <t>VÄSTERBOTTENS LÄN</t>
        </is>
      </c>
      <c r="E74" t="inlineStr">
        <is>
          <t>VINDELN</t>
        </is>
      </c>
      <c r="G74" t="n">
        <v>5.4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Garnlav</t>
        </is>
      </c>
      <c r="S74">
        <f>HYPERLINK("https://klasma.github.io/Logging_2404/artfynd/A 16999-2026 artfynd.xlsx", "A 16999-2026")</f>
        <v/>
      </c>
      <c r="T74">
        <f>HYPERLINK("https://klasma.github.io/Logging_2404/kartor/A 16999-2026 karta.png", "A 16999-2026")</f>
        <v/>
      </c>
      <c r="V74">
        <f>HYPERLINK("https://klasma.github.io/Logging_2404/klagomål/A 16999-2026 FSC-klagomål.docx", "A 16999-2026")</f>
        <v/>
      </c>
      <c r="W74">
        <f>HYPERLINK("https://klasma.github.io/Logging_2404/klagomålsmail/A 16999-2026 FSC-klagomål mail.docx", "A 16999-2026")</f>
        <v/>
      </c>
      <c r="X74">
        <f>HYPERLINK("https://klasma.github.io/Logging_2404/tillsyn/A 16999-2026 tillsynsbegäran.docx", "A 16999-2026")</f>
        <v/>
      </c>
      <c r="Y74">
        <f>HYPERLINK("https://klasma.github.io/Logging_2404/tillsynsmail/A 16999-2026 tillsynsbegäran mail.docx", "A 16999-2026")</f>
        <v/>
      </c>
    </row>
    <row r="75" ht="15" customHeight="1">
      <c r="A75" t="inlineStr">
        <is>
          <t>A 23783-2026</t>
        </is>
      </c>
      <c r="B75" s="1" t="n">
        <v>46164</v>
      </c>
      <c r="C75" s="1" t="n">
        <v>46197</v>
      </c>
      <c r="D75" t="inlineStr">
        <is>
          <t>VÄSTERBOTTENS LÄN</t>
        </is>
      </c>
      <c r="E75" t="inlineStr">
        <is>
          <t>VINDELN</t>
        </is>
      </c>
      <c r="F75" t="inlineStr">
        <is>
          <t>SCA</t>
        </is>
      </c>
      <c r="G75" t="n">
        <v>26.8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Mörk kolflarnlav</t>
        </is>
      </c>
      <c r="S75">
        <f>HYPERLINK("https://klasma.github.io/Logging_2404/artfynd/A 23783-2026 artfynd.xlsx", "A 23783-2026")</f>
        <v/>
      </c>
      <c r="T75">
        <f>HYPERLINK("https://klasma.github.io/Logging_2404/kartor/A 23783-2026 karta.png", "A 23783-2026")</f>
        <v/>
      </c>
      <c r="V75">
        <f>HYPERLINK("https://klasma.github.io/Logging_2404/klagomål/A 23783-2026 FSC-klagomål.docx", "A 23783-2026")</f>
        <v/>
      </c>
      <c r="W75">
        <f>HYPERLINK("https://klasma.github.io/Logging_2404/klagomålsmail/A 23783-2026 FSC-klagomål mail.docx", "A 23783-2026")</f>
        <v/>
      </c>
      <c r="X75">
        <f>HYPERLINK("https://klasma.github.io/Logging_2404/tillsyn/A 23783-2026 tillsynsbegäran.docx", "A 23783-2026")</f>
        <v/>
      </c>
      <c r="Y75">
        <f>HYPERLINK("https://klasma.github.io/Logging_2404/tillsynsmail/A 23783-2026 tillsynsbegäran mail.docx", "A 23783-2026")</f>
        <v/>
      </c>
    </row>
    <row r="76" ht="15" customHeight="1">
      <c r="A76" t="inlineStr">
        <is>
          <t>A 26090-2026</t>
        </is>
      </c>
      <c r="B76" s="1" t="n">
        <v>46181</v>
      </c>
      <c r="C76" s="1" t="n">
        <v>46197</v>
      </c>
      <c r="D76" t="inlineStr">
        <is>
          <t>VÄSTERBOTTENS LÄN</t>
        </is>
      </c>
      <c r="E76" t="inlineStr">
        <is>
          <t>VINDELN</t>
        </is>
      </c>
      <c r="F76" t="inlineStr">
        <is>
          <t>SCA</t>
        </is>
      </c>
      <c r="G76" t="n">
        <v>6.6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HYPERLINK("https://klasma.github.io/Logging_2404/artfynd/A 26090-2026 artfynd.xlsx", "A 26090-2026")</f>
        <v/>
      </c>
      <c r="T76">
        <f>HYPERLINK("https://klasma.github.io/Logging_2404/kartor/A 26090-2026 karta.png", "A 26090-2026")</f>
        <v/>
      </c>
      <c r="V76">
        <f>HYPERLINK("https://klasma.github.io/Logging_2404/klagomål/A 26090-2026 FSC-klagomål.docx", "A 26090-2026")</f>
        <v/>
      </c>
      <c r="W76">
        <f>HYPERLINK("https://klasma.github.io/Logging_2404/klagomålsmail/A 26090-2026 FSC-klagomål mail.docx", "A 26090-2026")</f>
        <v/>
      </c>
      <c r="X76">
        <f>HYPERLINK("https://klasma.github.io/Logging_2404/tillsyn/A 26090-2026 tillsynsbegäran.docx", "A 26090-2026")</f>
        <v/>
      </c>
      <c r="Y76">
        <f>HYPERLINK("https://klasma.github.io/Logging_2404/tillsynsmail/A 26090-2026 tillsynsbegäran mail.docx", "A 26090-2026")</f>
        <v/>
      </c>
    </row>
    <row r="77" ht="15" customHeight="1">
      <c r="A77" t="inlineStr">
        <is>
          <t>A 40802-2023</t>
        </is>
      </c>
      <c r="B77" s="1" t="n">
        <v>45170</v>
      </c>
      <c r="C77" s="1" t="n">
        <v>46197</v>
      </c>
      <c r="D77" t="inlineStr">
        <is>
          <t>VÄSTERBOTTENS LÄN</t>
        </is>
      </c>
      <c r="E77" t="inlineStr">
        <is>
          <t>VINDELN</t>
        </is>
      </c>
      <c r="F77" t="inlineStr">
        <is>
          <t>SCA</t>
        </is>
      </c>
      <c r="G77" t="n">
        <v>5.1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Blå taggsvamp</t>
        </is>
      </c>
      <c r="S77">
        <f>HYPERLINK("https://klasma.github.io/Logging_2404/artfynd/A 40802-2023 artfynd.xlsx", "A 40802-2023")</f>
        <v/>
      </c>
      <c r="T77">
        <f>HYPERLINK("https://klasma.github.io/Logging_2404/kartor/A 40802-2023 karta.png", "A 40802-2023")</f>
        <v/>
      </c>
      <c r="V77">
        <f>HYPERLINK("https://klasma.github.io/Logging_2404/klagomål/A 40802-2023 FSC-klagomål.docx", "A 40802-2023")</f>
        <v/>
      </c>
      <c r="W77">
        <f>HYPERLINK("https://klasma.github.io/Logging_2404/klagomålsmail/A 40802-2023 FSC-klagomål mail.docx", "A 40802-2023")</f>
        <v/>
      </c>
      <c r="X77">
        <f>HYPERLINK("https://klasma.github.io/Logging_2404/tillsyn/A 40802-2023 tillsynsbegäran.docx", "A 40802-2023")</f>
        <v/>
      </c>
      <c r="Y77">
        <f>HYPERLINK("https://klasma.github.io/Logging_2404/tillsynsmail/A 40802-2023 tillsynsbegäran mail.docx", "A 40802-2023")</f>
        <v/>
      </c>
    </row>
    <row r="78" ht="15" customHeight="1">
      <c r="A78" t="inlineStr">
        <is>
          <t>A 27583-2022</t>
        </is>
      </c>
      <c r="B78" s="1" t="n">
        <v>44742</v>
      </c>
      <c r="C78" s="1" t="n">
        <v>46197</v>
      </c>
      <c r="D78" t="inlineStr">
        <is>
          <t>VÄSTERBOTTENS LÄN</t>
        </is>
      </c>
      <c r="E78" t="inlineStr">
        <is>
          <t>VINDELN</t>
        </is>
      </c>
      <c r="F78" t="inlineStr">
        <is>
          <t>SCA</t>
        </is>
      </c>
      <c r="G78" t="n">
        <v>2.1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Ullticka</t>
        </is>
      </c>
      <c r="S78">
        <f>HYPERLINK("https://klasma.github.io/Logging_2404/artfynd/A 27583-2022 artfynd.xlsx", "A 27583-2022")</f>
        <v/>
      </c>
      <c r="T78">
        <f>HYPERLINK("https://klasma.github.io/Logging_2404/kartor/A 27583-2022 karta.png", "A 27583-2022")</f>
        <v/>
      </c>
      <c r="V78">
        <f>HYPERLINK("https://klasma.github.io/Logging_2404/klagomål/A 27583-2022 FSC-klagomål.docx", "A 27583-2022")</f>
        <v/>
      </c>
      <c r="W78">
        <f>HYPERLINK("https://klasma.github.io/Logging_2404/klagomålsmail/A 27583-2022 FSC-klagomål mail.docx", "A 27583-2022")</f>
        <v/>
      </c>
      <c r="X78">
        <f>HYPERLINK("https://klasma.github.io/Logging_2404/tillsyn/A 27583-2022 tillsynsbegäran.docx", "A 27583-2022")</f>
        <v/>
      </c>
      <c r="Y78">
        <f>HYPERLINK("https://klasma.github.io/Logging_2404/tillsynsmail/A 27583-2022 tillsynsbegäran mail.docx", "A 27583-2022")</f>
        <v/>
      </c>
    </row>
    <row r="79" ht="15" customHeight="1">
      <c r="A79" t="inlineStr">
        <is>
          <t>A 27737-2026</t>
        </is>
      </c>
      <c r="B79" s="1" t="n">
        <v>46191</v>
      </c>
      <c r="C79" s="1" t="n">
        <v>46197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1.9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Järpe</t>
        </is>
      </c>
      <c r="S79">
        <f>HYPERLINK("https://klasma.github.io/Logging_2404/artfynd/A 27737-2026 artfynd.xlsx", "A 27737-2026")</f>
        <v/>
      </c>
      <c r="T79">
        <f>HYPERLINK("https://klasma.github.io/Logging_2404/kartor/A 27737-2026 karta.png", "A 27737-2026")</f>
        <v/>
      </c>
      <c r="V79">
        <f>HYPERLINK("https://klasma.github.io/Logging_2404/klagomål/A 27737-2026 FSC-klagomål.docx", "A 27737-2026")</f>
        <v/>
      </c>
      <c r="W79">
        <f>HYPERLINK("https://klasma.github.io/Logging_2404/klagomålsmail/A 27737-2026 FSC-klagomål mail.docx", "A 27737-2026")</f>
        <v/>
      </c>
      <c r="X79">
        <f>HYPERLINK("https://klasma.github.io/Logging_2404/tillsyn/A 27737-2026 tillsynsbegäran.docx", "A 27737-2026")</f>
        <v/>
      </c>
      <c r="Y79">
        <f>HYPERLINK("https://klasma.github.io/Logging_2404/tillsynsmail/A 27737-2026 tillsynsbegäran mail.docx", "A 27737-2026")</f>
        <v/>
      </c>
      <c r="Z79">
        <f>HYPERLINK("https://klasma.github.io/Logging_2404/fåglar/A 27737-2026 prioriterade fågelarter.docx", "A 27737-2026")</f>
        <v/>
      </c>
    </row>
    <row r="80" ht="15" customHeight="1">
      <c r="A80" t="inlineStr">
        <is>
          <t>A 37953-2023</t>
        </is>
      </c>
      <c r="B80" s="1" t="n">
        <v>45159</v>
      </c>
      <c r="C80" s="1" t="n">
        <v>46197</v>
      </c>
      <c r="D80" t="inlineStr">
        <is>
          <t>VÄSTERBOTTENS LÄN</t>
        </is>
      </c>
      <c r="E80" t="inlineStr">
        <is>
          <t>VINDELN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HYPERLINK("https://klasma.github.io/Logging_2404/artfynd/A 37953-2023 artfynd.xlsx", "A 37953-2023")</f>
        <v/>
      </c>
      <c r="T80">
        <f>HYPERLINK("https://klasma.github.io/Logging_2404/kartor/A 37953-2023 karta.png", "A 37953-2023")</f>
        <v/>
      </c>
      <c r="U80">
        <f>HYPERLINK("https://klasma.github.io/Logging_2404/knärot/A 37953-2023 karta knärot.png", "A 37953-2023")</f>
        <v/>
      </c>
      <c r="V80">
        <f>HYPERLINK("https://klasma.github.io/Logging_2404/klagomål/A 37953-2023 FSC-klagomål.docx", "A 37953-2023")</f>
        <v/>
      </c>
      <c r="W80">
        <f>HYPERLINK("https://klasma.github.io/Logging_2404/klagomålsmail/A 37953-2023 FSC-klagomål mail.docx", "A 37953-2023")</f>
        <v/>
      </c>
      <c r="X80">
        <f>HYPERLINK("https://klasma.github.io/Logging_2404/tillsyn/A 37953-2023 tillsynsbegäran.docx", "A 37953-2023")</f>
        <v/>
      </c>
      <c r="Y80">
        <f>HYPERLINK("https://klasma.github.io/Logging_2404/tillsynsmail/A 37953-2023 tillsynsbegäran mail.docx", "A 37953-2023")</f>
        <v/>
      </c>
    </row>
    <row r="81" ht="15" customHeight="1">
      <c r="A81" t="inlineStr">
        <is>
          <t>A 57675-2024</t>
        </is>
      </c>
      <c r="B81" s="1" t="n">
        <v>45630</v>
      </c>
      <c r="C81" s="1" t="n">
        <v>46197</v>
      </c>
      <c r="D81" t="inlineStr">
        <is>
          <t>VÄSTERBOTTENS LÄN</t>
        </is>
      </c>
      <c r="E81" t="inlineStr">
        <is>
          <t>VINDELN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Garnlav</t>
        </is>
      </c>
      <c r="S81">
        <f>HYPERLINK("https://klasma.github.io/Logging_2404/artfynd/A 57675-2024 artfynd.xlsx", "A 57675-2024")</f>
        <v/>
      </c>
      <c r="T81">
        <f>HYPERLINK("https://klasma.github.io/Logging_2404/kartor/A 57675-2024 karta.png", "A 57675-2024")</f>
        <v/>
      </c>
      <c r="V81">
        <f>HYPERLINK("https://klasma.github.io/Logging_2404/klagomål/A 57675-2024 FSC-klagomål.docx", "A 57675-2024")</f>
        <v/>
      </c>
      <c r="W81">
        <f>HYPERLINK("https://klasma.github.io/Logging_2404/klagomålsmail/A 57675-2024 FSC-klagomål mail.docx", "A 57675-2024")</f>
        <v/>
      </c>
      <c r="X81">
        <f>HYPERLINK("https://klasma.github.io/Logging_2404/tillsyn/A 57675-2024 tillsynsbegäran.docx", "A 57675-2024")</f>
        <v/>
      </c>
      <c r="Y81">
        <f>HYPERLINK("https://klasma.github.io/Logging_2404/tillsynsmail/A 57675-2024 tillsynsbegäran mail.docx", "A 57675-2024")</f>
        <v/>
      </c>
    </row>
    <row r="82" ht="15" customHeight="1">
      <c r="A82" t="inlineStr">
        <is>
          <t>A 32830-2024</t>
        </is>
      </c>
      <c r="B82" s="1" t="n">
        <v>45516</v>
      </c>
      <c r="C82" s="1" t="n">
        <v>46197</v>
      </c>
      <c r="D82" t="inlineStr">
        <is>
          <t>VÄSTERBOTTENS LÄN</t>
        </is>
      </c>
      <c r="E82" t="inlineStr">
        <is>
          <t>VINDELN</t>
        </is>
      </c>
      <c r="F82" t="inlineStr">
        <is>
          <t>Holmen skog AB</t>
        </is>
      </c>
      <c r="G82" t="n">
        <v>0.4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HYPERLINK("https://klasma.github.io/Logging_2404/artfynd/A 32830-2024 artfynd.xlsx", "A 32830-2024")</f>
        <v/>
      </c>
      <c r="T82">
        <f>HYPERLINK("https://klasma.github.io/Logging_2404/kartor/A 32830-2024 karta.png", "A 32830-2024")</f>
        <v/>
      </c>
      <c r="V82">
        <f>HYPERLINK("https://klasma.github.io/Logging_2404/klagomål/A 32830-2024 FSC-klagomål.docx", "A 32830-2024")</f>
        <v/>
      </c>
      <c r="W82">
        <f>HYPERLINK("https://klasma.github.io/Logging_2404/klagomålsmail/A 32830-2024 FSC-klagomål mail.docx", "A 32830-2024")</f>
        <v/>
      </c>
      <c r="X82">
        <f>HYPERLINK("https://klasma.github.io/Logging_2404/tillsyn/A 32830-2024 tillsynsbegäran.docx", "A 32830-2024")</f>
        <v/>
      </c>
      <c r="Y82">
        <f>HYPERLINK("https://klasma.github.io/Logging_2404/tillsynsmail/A 32830-2024 tillsynsbegäran mail.docx", "A 32830-2024")</f>
        <v/>
      </c>
    </row>
    <row r="83" ht="15" customHeight="1">
      <c r="A83" t="inlineStr">
        <is>
          <t>A 3431-2023</t>
        </is>
      </c>
      <c r="B83" s="1" t="n">
        <v>44949</v>
      </c>
      <c r="C83" s="1" t="n">
        <v>46197</v>
      </c>
      <c r="D83" t="inlineStr">
        <is>
          <t>VÄSTERBOTTENS LÄN</t>
        </is>
      </c>
      <c r="E83" t="inlineStr">
        <is>
          <t>VINDELN</t>
        </is>
      </c>
      <c r="F83" t="inlineStr">
        <is>
          <t>Sveaskog</t>
        </is>
      </c>
      <c r="G83" t="n">
        <v>5.8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Gråspett</t>
        </is>
      </c>
      <c r="S83">
        <f>HYPERLINK("https://klasma.github.io/Logging_2404/artfynd/A 3431-2023 artfynd.xlsx", "A 3431-2023")</f>
        <v/>
      </c>
      <c r="T83">
        <f>HYPERLINK("https://klasma.github.io/Logging_2404/kartor/A 3431-2023 karta.png", "A 3431-2023")</f>
        <v/>
      </c>
      <c r="V83">
        <f>HYPERLINK("https://klasma.github.io/Logging_2404/klagomål/A 3431-2023 FSC-klagomål.docx", "A 3431-2023")</f>
        <v/>
      </c>
      <c r="W83">
        <f>HYPERLINK("https://klasma.github.io/Logging_2404/klagomålsmail/A 3431-2023 FSC-klagomål mail.docx", "A 3431-2023")</f>
        <v/>
      </c>
      <c r="X83">
        <f>HYPERLINK("https://klasma.github.io/Logging_2404/tillsyn/A 3431-2023 tillsynsbegäran.docx", "A 3431-2023")</f>
        <v/>
      </c>
      <c r="Y83">
        <f>HYPERLINK("https://klasma.github.io/Logging_2404/tillsynsmail/A 3431-2023 tillsynsbegäran mail.docx", "A 3431-2023")</f>
        <v/>
      </c>
      <c r="Z83">
        <f>HYPERLINK("https://klasma.github.io/Logging_2404/fåglar/A 3431-2023 prioriterade fågelarter.docx", "A 3431-2023")</f>
        <v/>
      </c>
    </row>
    <row r="84" ht="15" customHeight="1">
      <c r="A84" t="inlineStr">
        <is>
          <t>A 23749-2025</t>
        </is>
      </c>
      <c r="B84" s="1" t="n">
        <v>45793</v>
      </c>
      <c r="C84" s="1" t="n">
        <v>46197</v>
      </c>
      <c r="D84" t="inlineStr">
        <is>
          <t>VÄSTERBOTTENS LÄN</t>
        </is>
      </c>
      <c r="E84" t="inlineStr">
        <is>
          <t>VINDELN</t>
        </is>
      </c>
      <c r="G84" t="n">
        <v>2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HYPERLINK("https://klasma.github.io/Logging_2404/artfynd/A 23749-2025 artfynd.xlsx", "A 23749-2025")</f>
        <v/>
      </c>
      <c r="T84">
        <f>HYPERLINK("https://klasma.github.io/Logging_2404/kartor/A 23749-2025 karta.png", "A 23749-2025")</f>
        <v/>
      </c>
      <c r="U84">
        <f>HYPERLINK("https://klasma.github.io/Logging_2404/knärot/A 23749-2025 karta knärot.png", "A 23749-2025")</f>
        <v/>
      </c>
      <c r="V84">
        <f>HYPERLINK("https://klasma.github.io/Logging_2404/klagomål/A 23749-2025 FSC-klagomål.docx", "A 23749-2025")</f>
        <v/>
      </c>
      <c r="W84">
        <f>HYPERLINK("https://klasma.github.io/Logging_2404/klagomålsmail/A 23749-2025 FSC-klagomål mail.docx", "A 23749-2025")</f>
        <v/>
      </c>
      <c r="X84">
        <f>HYPERLINK("https://klasma.github.io/Logging_2404/tillsyn/A 23749-2025 tillsynsbegäran.docx", "A 23749-2025")</f>
        <v/>
      </c>
      <c r="Y84">
        <f>HYPERLINK("https://klasma.github.io/Logging_2404/tillsynsmail/A 23749-2025 tillsynsbegäran mail.docx", "A 23749-2025")</f>
        <v/>
      </c>
    </row>
    <row r="85" ht="15" customHeight="1">
      <c r="A85" t="inlineStr">
        <is>
          <t>A 46092-2022</t>
        </is>
      </c>
      <c r="B85" s="1" t="n">
        <v>44845</v>
      </c>
      <c r="C85" s="1" t="n">
        <v>46197</v>
      </c>
      <c r="D85" t="inlineStr">
        <is>
          <t>VÄSTERBOTTENS LÄN</t>
        </is>
      </c>
      <c r="E85" t="inlineStr">
        <is>
          <t>VINDELN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19442-2022</t>
        </is>
      </c>
      <c r="B86" s="1" t="n">
        <v>44693</v>
      </c>
      <c r="C86" s="1" t="n">
        <v>46197</v>
      </c>
      <c r="D86" t="inlineStr">
        <is>
          <t>VÄSTERBOTTENS LÄN</t>
        </is>
      </c>
      <c r="E86" t="inlineStr">
        <is>
          <t>VINDELN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52885-2022</t>
        </is>
      </c>
      <c r="B87" s="1" t="n">
        <v>44872</v>
      </c>
      <c r="C87" s="1" t="n">
        <v>46197</v>
      </c>
      <c r="D87" t="inlineStr">
        <is>
          <t>VÄSTERBOTTENS LÄN</t>
        </is>
      </c>
      <c r="E87" t="inlineStr">
        <is>
          <t>VINDELN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35430-2021</t>
        </is>
      </c>
      <c r="B88" s="1" t="n">
        <v>44384</v>
      </c>
      <c r="C88" s="1" t="n">
        <v>46197</v>
      </c>
      <c r="D88" t="inlineStr">
        <is>
          <t>VÄSTERBOTTENS LÄN</t>
        </is>
      </c>
      <c r="E88" t="inlineStr">
        <is>
          <t>VINDELN</t>
        </is>
      </c>
      <c r="G88" t="n">
        <v>12.6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3695-2022</t>
        </is>
      </c>
      <c r="B89" s="1" t="n">
        <v>44586</v>
      </c>
      <c r="C89" s="1" t="n">
        <v>46197</v>
      </c>
      <c r="D89" t="inlineStr">
        <is>
          <t>VÄSTERBOTTENS LÄN</t>
        </is>
      </c>
      <c r="E89" t="inlineStr">
        <is>
          <t>VINDELN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3703-2022</t>
        </is>
      </c>
      <c r="B90" s="1" t="n">
        <v>44586</v>
      </c>
      <c r="C90" s="1" t="n">
        <v>46197</v>
      </c>
      <c r="D90" t="inlineStr">
        <is>
          <t>VÄSTERBOTTENS LÄN</t>
        </is>
      </c>
      <c r="E90" t="inlineStr">
        <is>
          <t>VINDELN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14351-2022</t>
        </is>
      </c>
      <c r="B91" s="1" t="n">
        <v>44652</v>
      </c>
      <c r="C91" s="1" t="n">
        <v>46197</v>
      </c>
      <c r="D91" t="inlineStr">
        <is>
          <t>VÄSTERBOTTENS LÄN</t>
        </is>
      </c>
      <c r="E91" t="inlineStr">
        <is>
          <t>VINDELN</t>
        </is>
      </c>
      <c r="G91" t="n">
        <v>14.4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53826-2022</t>
        </is>
      </c>
      <c r="B92" s="1" t="n">
        <v>44876</v>
      </c>
      <c r="C92" s="1" t="n">
        <v>46197</v>
      </c>
      <c r="D92" t="inlineStr">
        <is>
          <t>VÄSTERBOTTENS LÄN</t>
        </is>
      </c>
      <c r="E92" t="inlineStr">
        <is>
          <t>VINDELN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58639-2021</t>
        </is>
      </c>
      <c r="B93" s="1" t="n">
        <v>44488</v>
      </c>
      <c r="C93" s="1" t="n">
        <v>46197</v>
      </c>
      <c r="D93" t="inlineStr">
        <is>
          <t>VÄSTERBOTTENS LÄN</t>
        </is>
      </c>
      <c r="E93" t="inlineStr">
        <is>
          <t>VINDELN</t>
        </is>
      </c>
      <c r="G93" t="n">
        <v>12.5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74394-2021</t>
        </is>
      </c>
      <c r="B94" s="1" t="n">
        <v>44559</v>
      </c>
      <c r="C94" s="1" t="n">
        <v>46197</v>
      </c>
      <c r="D94" t="inlineStr">
        <is>
          <t>VÄSTERBOTTENS LÄN</t>
        </is>
      </c>
      <c r="E94" t="inlineStr">
        <is>
          <t>VINDELN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6249-2022</t>
        </is>
      </c>
      <c r="B95" s="1" t="n">
        <v>44600</v>
      </c>
      <c r="C95" s="1" t="n">
        <v>46197</v>
      </c>
      <c r="D95" t="inlineStr">
        <is>
          <t>VÄSTERBOTTENS LÄN</t>
        </is>
      </c>
      <c r="E95" t="inlineStr">
        <is>
          <t>VINDELN</t>
        </is>
      </c>
      <c r="G95" t="n">
        <v>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73081-2021</t>
        </is>
      </c>
      <c r="B96" s="1" t="n">
        <v>44546</v>
      </c>
      <c r="C96" s="1" t="n">
        <v>46197</v>
      </c>
      <c r="D96" t="inlineStr">
        <is>
          <t>VÄSTERBOTTENS LÄN</t>
        </is>
      </c>
      <c r="E96" t="inlineStr">
        <is>
          <t>VINDELN</t>
        </is>
      </c>
      <c r="G96" t="n">
        <v>19.9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22778-2022</t>
        </is>
      </c>
      <c r="B97" s="1" t="n">
        <v>44714</v>
      </c>
      <c r="C97" s="1" t="n">
        <v>46197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39509-2021</t>
        </is>
      </c>
      <c r="B98" s="1" t="n">
        <v>44414</v>
      </c>
      <c r="C98" s="1" t="n">
        <v>46197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35201-2022</t>
        </is>
      </c>
      <c r="B99" s="1" t="n">
        <v>44797</v>
      </c>
      <c r="C99" s="1" t="n">
        <v>46197</v>
      </c>
      <c r="D99" t="inlineStr">
        <is>
          <t>VÄSTERBOTTENS LÄN</t>
        </is>
      </c>
      <c r="E99" t="inlineStr">
        <is>
          <t>VINDELN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53597-2022</t>
        </is>
      </c>
      <c r="B100" s="1" t="n">
        <v>44879</v>
      </c>
      <c r="C100" s="1" t="n">
        <v>46197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52883-2022</t>
        </is>
      </c>
      <c r="B101" s="1" t="n">
        <v>44875</v>
      </c>
      <c r="C101" s="1" t="n">
        <v>46197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Sveaskog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50398-2021</t>
        </is>
      </c>
      <c r="B102" s="1" t="n">
        <v>44459</v>
      </c>
      <c r="C102" s="1" t="n">
        <v>46197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61430-2021</t>
        </is>
      </c>
      <c r="B103" s="1" t="n">
        <v>44500</v>
      </c>
      <c r="C103" s="1" t="n">
        <v>46197</v>
      </c>
      <c r="D103" t="inlineStr">
        <is>
          <t>VÄSTERBOTTENS LÄN</t>
        </is>
      </c>
      <c r="E103" t="inlineStr">
        <is>
          <t>VINDELN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52095-2021</t>
        </is>
      </c>
      <c r="B104" s="1" t="n">
        <v>44463</v>
      </c>
      <c r="C104" s="1" t="n">
        <v>46197</v>
      </c>
      <c r="D104" t="inlineStr">
        <is>
          <t>VÄSTERBOTTENS LÄN</t>
        </is>
      </c>
      <c r="E104" t="inlineStr">
        <is>
          <t>VINDELN</t>
        </is>
      </c>
      <c r="F104" t="inlineStr">
        <is>
          <t>Naturvårdsverket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36058-2022</t>
        </is>
      </c>
      <c r="B105" s="1" t="n">
        <v>44802</v>
      </c>
      <c r="C105" s="1" t="n">
        <v>46197</v>
      </c>
      <c r="D105" t="inlineStr">
        <is>
          <t>VÄSTERBOTTENS LÄN</t>
        </is>
      </c>
      <c r="E105" t="inlineStr">
        <is>
          <t>VINDELN</t>
        </is>
      </c>
      <c r="F105" t="inlineStr">
        <is>
          <t>Holmen skog AB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22948-2022</t>
        </is>
      </c>
      <c r="B106" s="1" t="n">
        <v>44715</v>
      </c>
      <c r="C106" s="1" t="n">
        <v>46197</v>
      </c>
      <c r="D106" t="inlineStr">
        <is>
          <t>VÄSTERBOTTENS LÄN</t>
        </is>
      </c>
      <c r="E106" t="inlineStr">
        <is>
          <t>VINDELN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52888-2022</t>
        </is>
      </c>
      <c r="B107" s="1" t="n">
        <v>44872</v>
      </c>
      <c r="C107" s="1" t="n">
        <v>46197</v>
      </c>
      <c r="D107" t="inlineStr">
        <is>
          <t>VÄSTERBOTTENS LÄN</t>
        </is>
      </c>
      <c r="E107" t="inlineStr">
        <is>
          <t>VINDELN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70753-2021</t>
        </is>
      </c>
      <c r="B108" s="1" t="n">
        <v>44536</v>
      </c>
      <c r="C108" s="1" t="n">
        <v>46197</v>
      </c>
      <c r="D108" t="inlineStr">
        <is>
          <t>VÄSTERBOTTENS LÄN</t>
        </is>
      </c>
      <c r="E108" t="inlineStr">
        <is>
          <t>VINDELN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39505-2021</t>
        </is>
      </c>
      <c r="B109" s="1" t="n">
        <v>44414</v>
      </c>
      <c r="C109" s="1" t="n">
        <v>46197</v>
      </c>
      <c r="D109" t="inlineStr">
        <is>
          <t>VÄSTERBOTTENS LÄN</t>
        </is>
      </c>
      <c r="E109" t="inlineStr">
        <is>
          <t>VINDELN</t>
        </is>
      </c>
      <c r="F109" t="inlineStr">
        <is>
          <t>SCA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51632-2022</t>
        </is>
      </c>
      <c r="B110" s="1" t="n">
        <v>44872</v>
      </c>
      <c r="C110" s="1" t="n">
        <v>46197</v>
      </c>
      <c r="D110" t="inlineStr">
        <is>
          <t>VÄSTERBOTTENS LÄN</t>
        </is>
      </c>
      <c r="E110" t="inlineStr">
        <is>
          <t>VINDELN</t>
        </is>
      </c>
      <c r="F110" t="inlineStr">
        <is>
          <t>Sveaskog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54507-2021</t>
        </is>
      </c>
      <c r="B111" s="1" t="n">
        <v>44473</v>
      </c>
      <c r="C111" s="1" t="n">
        <v>46197</v>
      </c>
      <c r="D111" t="inlineStr">
        <is>
          <t>VÄSTERBOTTENS LÄN</t>
        </is>
      </c>
      <c r="E111" t="inlineStr">
        <is>
          <t>VINDELN</t>
        </is>
      </c>
      <c r="F111" t="inlineStr">
        <is>
          <t>Holmen skog AB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34386-2021</t>
        </is>
      </c>
      <c r="B112" s="1" t="n">
        <v>44379</v>
      </c>
      <c r="C112" s="1" t="n">
        <v>46197</v>
      </c>
      <c r="D112" t="inlineStr">
        <is>
          <t>VÄSTERBOTTENS LÄN</t>
        </is>
      </c>
      <c r="E112" t="inlineStr">
        <is>
          <t>VINDELN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63670-2021</t>
        </is>
      </c>
      <c r="B113" s="1" t="n">
        <v>44509</v>
      </c>
      <c r="C113" s="1" t="n">
        <v>46197</v>
      </c>
      <c r="D113" t="inlineStr">
        <is>
          <t>VÄSTERBOTTENS LÄN</t>
        </is>
      </c>
      <c r="E113" t="inlineStr">
        <is>
          <t>VINDELN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8973-2022</t>
        </is>
      </c>
      <c r="B114" s="1" t="n">
        <v>44614</v>
      </c>
      <c r="C114" s="1" t="n">
        <v>46197</v>
      </c>
      <c r="D114" t="inlineStr">
        <is>
          <t>VÄSTERBOTTENS LÄN</t>
        </is>
      </c>
      <c r="E114" t="inlineStr">
        <is>
          <t>VINDELN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48207-2021</t>
        </is>
      </c>
      <c r="B115" s="1" t="n">
        <v>44449</v>
      </c>
      <c r="C115" s="1" t="n">
        <v>46197</v>
      </c>
      <c r="D115" t="inlineStr">
        <is>
          <t>VÄSTERBOTTENS LÄN</t>
        </is>
      </c>
      <c r="E115" t="inlineStr">
        <is>
          <t>VINDELN</t>
        </is>
      </c>
      <c r="F115" t="inlineStr">
        <is>
          <t>Holmen skog AB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20327-2022</t>
        </is>
      </c>
      <c r="B116" s="1" t="n">
        <v>44698</v>
      </c>
      <c r="C116" s="1" t="n">
        <v>46197</v>
      </c>
      <c r="D116" t="inlineStr">
        <is>
          <t>VÄSTERBOTTENS LÄN</t>
        </is>
      </c>
      <c r="E116" t="inlineStr">
        <is>
          <t>VINDELN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70881-2021</t>
        </is>
      </c>
      <c r="B117" s="1" t="n">
        <v>44537</v>
      </c>
      <c r="C117" s="1" t="n">
        <v>46197</v>
      </c>
      <c r="D117" t="inlineStr">
        <is>
          <t>VÄSTERBOTTENS LÄN</t>
        </is>
      </c>
      <c r="E117" t="inlineStr">
        <is>
          <t>VINDELN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39255-2022</t>
        </is>
      </c>
      <c r="B118" s="1" t="n">
        <v>44817</v>
      </c>
      <c r="C118" s="1" t="n">
        <v>46197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Sveaskog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17581-2022</t>
        </is>
      </c>
      <c r="B119" s="1" t="n">
        <v>44679</v>
      </c>
      <c r="C119" s="1" t="n">
        <v>46197</v>
      </c>
      <c r="D119" t="inlineStr">
        <is>
          <t>VÄSTERBOTTENS LÄN</t>
        </is>
      </c>
      <c r="E119" t="inlineStr">
        <is>
          <t>VINDELN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51093-2022</t>
        </is>
      </c>
      <c r="B120" s="1" t="n">
        <v>44865</v>
      </c>
      <c r="C120" s="1" t="n">
        <v>46197</v>
      </c>
      <c r="D120" t="inlineStr">
        <is>
          <t>VÄSTERBOTTENS LÄN</t>
        </is>
      </c>
      <c r="E120" t="inlineStr">
        <is>
          <t>VINDELN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47109-2021</t>
        </is>
      </c>
      <c r="B121" s="1" t="n">
        <v>44446</v>
      </c>
      <c r="C121" s="1" t="n">
        <v>46197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Sveaskog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47100-2021</t>
        </is>
      </c>
      <c r="B122" s="1" t="n">
        <v>44446</v>
      </c>
      <c r="C122" s="1" t="n">
        <v>46197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35195-2022</t>
        </is>
      </c>
      <c r="B123" s="1" t="n">
        <v>44797</v>
      </c>
      <c r="C123" s="1" t="n">
        <v>46197</v>
      </c>
      <c r="D123" t="inlineStr">
        <is>
          <t>VÄSTERBOTTENS LÄN</t>
        </is>
      </c>
      <c r="E123" t="inlineStr">
        <is>
          <t>VINDELN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2902-2022</t>
        </is>
      </c>
      <c r="B124" s="1" t="n">
        <v>44581</v>
      </c>
      <c r="C124" s="1" t="n">
        <v>46197</v>
      </c>
      <c r="D124" t="inlineStr">
        <is>
          <t>VÄSTERBOTTENS LÄN</t>
        </is>
      </c>
      <c r="E124" t="inlineStr">
        <is>
          <t>VINDELN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18399-2022</t>
        </is>
      </c>
      <c r="B125" s="1" t="n">
        <v>44685</v>
      </c>
      <c r="C125" s="1" t="n">
        <v>46197</v>
      </c>
      <c r="D125" t="inlineStr">
        <is>
          <t>VÄSTERBOTTENS LÄN</t>
        </is>
      </c>
      <c r="E125" t="inlineStr">
        <is>
          <t>VINDELN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44384-2022</t>
        </is>
      </c>
      <c r="B126" s="1" t="n">
        <v>44839</v>
      </c>
      <c r="C126" s="1" t="n">
        <v>46197</v>
      </c>
      <c r="D126" t="inlineStr">
        <is>
          <t>VÄSTERBOTTENS LÄN</t>
        </is>
      </c>
      <c r="E126" t="inlineStr">
        <is>
          <t>VINDELN</t>
        </is>
      </c>
      <c r="F126" t="inlineStr">
        <is>
          <t>Holmen skog AB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70699-2021</t>
        </is>
      </c>
      <c r="B127" s="1" t="n">
        <v>44536</v>
      </c>
      <c r="C127" s="1" t="n">
        <v>46197</v>
      </c>
      <c r="D127" t="inlineStr">
        <is>
          <t>VÄSTERBOTTENS LÄN</t>
        </is>
      </c>
      <c r="E127" t="inlineStr">
        <is>
          <t>VINDELN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21942-2022</t>
        </is>
      </c>
      <c r="B128" s="1" t="n">
        <v>44711</v>
      </c>
      <c r="C128" s="1" t="n">
        <v>46197</v>
      </c>
      <c r="D128" t="inlineStr">
        <is>
          <t>VÄSTERBOTTENS LÄN</t>
        </is>
      </c>
      <c r="E128" t="inlineStr">
        <is>
          <t>VINDELN</t>
        </is>
      </c>
      <c r="G128" t="n">
        <v>11.2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50086-2022</t>
        </is>
      </c>
      <c r="B129" s="1" t="n">
        <v>44860</v>
      </c>
      <c r="C129" s="1" t="n">
        <v>46197</v>
      </c>
      <c r="D129" t="inlineStr">
        <is>
          <t>VÄSTERBOTTENS LÄN</t>
        </is>
      </c>
      <c r="E129" t="inlineStr">
        <is>
          <t>VINDELN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52019-2022</t>
        </is>
      </c>
      <c r="B130" s="1" t="n">
        <v>44872</v>
      </c>
      <c r="C130" s="1" t="n">
        <v>46197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SCA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27665-2022</t>
        </is>
      </c>
      <c r="B131" s="1" t="n">
        <v>44743</v>
      </c>
      <c r="C131" s="1" t="n">
        <v>46197</v>
      </c>
      <c r="D131" t="inlineStr">
        <is>
          <t>VÄSTERBOTTENS LÄN</t>
        </is>
      </c>
      <c r="E131" t="inlineStr">
        <is>
          <t>VINDELN</t>
        </is>
      </c>
      <c r="F131" t="inlineStr">
        <is>
          <t>Holmen skog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35379-2021</t>
        </is>
      </c>
      <c r="B132" s="1" t="n">
        <v>44384</v>
      </c>
      <c r="C132" s="1" t="n">
        <v>46197</v>
      </c>
      <c r="D132" t="inlineStr">
        <is>
          <t>VÄSTERBOTTENS LÄN</t>
        </is>
      </c>
      <c r="E132" t="inlineStr">
        <is>
          <t>VINDELN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71581-2021</t>
        </is>
      </c>
      <c r="B133" s="1" t="n">
        <v>44540</v>
      </c>
      <c r="C133" s="1" t="n">
        <v>46197</v>
      </c>
      <c r="D133" t="inlineStr">
        <is>
          <t>VÄSTERBOTTENS LÄN</t>
        </is>
      </c>
      <c r="E133" t="inlineStr">
        <is>
          <t>VINDELN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64735-2021</t>
        </is>
      </c>
      <c r="B134" s="1" t="n">
        <v>44511</v>
      </c>
      <c r="C134" s="1" t="n">
        <v>46197</v>
      </c>
      <c r="D134" t="inlineStr">
        <is>
          <t>VÄSTERBOTTENS LÄN</t>
        </is>
      </c>
      <c r="E134" t="inlineStr">
        <is>
          <t>VINDELN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40123-2022</t>
        </is>
      </c>
      <c r="B135" s="1" t="n">
        <v>44820</v>
      </c>
      <c r="C135" s="1" t="n">
        <v>46197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37475-2021</t>
        </is>
      </c>
      <c r="B136" s="1" t="n">
        <v>44398</v>
      </c>
      <c r="C136" s="1" t="n">
        <v>46197</v>
      </c>
      <c r="D136" t="inlineStr">
        <is>
          <t>VÄSTERBOTTENS LÄN</t>
        </is>
      </c>
      <c r="E136" t="inlineStr">
        <is>
          <t>VINDELN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6516-2022</t>
        </is>
      </c>
      <c r="B137" s="1" t="n">
        <v>44600</v>
      </c>
      <c r="C137" s="1" t="n">
        <v>46197</v>
      </c>
      <c r="D137" t="inlineStr">
        <is>
          <t>VÄSTERBOTTENS LÄN</t>
        </is>
      </c>
      <c r="E137" t="inlineStr">
        <is>
          <t>VINDELN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22553-2022</t>
        </is>
      </c>
      <c r="B138" s="1" t="n">
        <v>44713</v>
      </c>
      <c r="C138" s="1" t="n">
        <v>46197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23680-2022</t>
        </is>
      </c>
      <c r="B139" s="1" t="n">
        <v>44721</v>
      </c>
      <c r="C139" s="1" t="n">
        <v>46197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58466-2021</t>
        </is>
      </c>
      <c r="B140" s="1" t="n">
        <v>44488</v>
      </c>
      <c r="C140" s="1" t="n">
        <v>46197</v>
      </c>
      <c r="D140" t="inlineStr">
        <is>
          <t>VÄSTERBOTTENS LÄN</t>
        </is>
      </c>
      <c r="E140" t="inlineStr">
        <is>
          <t>VINDELN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41959-2021</t>
        </is>
      </c>
      <c r="B141" s="1" t="n">
        <v>44426</v>
      </c>
      <c r="C141" s="1" t="n">
        <v>46197</v>
      </c>
      <c r="D141" t="inlineStr">
        <is>
          <t>VÄSTERBOTTENS LÄN</t>
        </is>
      </c>
      <c r="E141" t="inlineStr">
        <is>
          <t>VINDELN</t>
        </is>
      </c>
      <c r="F141" t="inlineStr">
        <is>
          <t>Holmen skog AB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18172-2022</t>
        </is>
      </c>
      <c r="B142" s="1" t="n">
        <v>44684</v>
      </c>
      <c r="C142" s="1" t="n">
        <v>46197</v>
      </c>
      <c r="D142" t="inlineStr">
        <is>
          <t>VÄSTERBOTTENS LÄN</t>
        </is>
      </c>
      <c r="E142" t="inlineStr">
        <is>
          <t>VINDELN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36385-2022</t>
        </is>
      </c>
      <c r="B143" s="1" t="n">
        <v>44803</v>
      </c>
      <c r="C143" s="1" t="n">
        <v>46197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SCA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48573-2022</t>
        </is>
      </c>
      <c r="B144" s="1" t="n">
        <v>44854</v>
      </c>
      <c r="C144" s="1" t="n">
        <v>46197</v>
      </c>
      <c r="D144" t="inlineStr">
        <is>
          <t>VÄSTERBOTTENS LÄN</t>
        </is>
      </c>
      <c r="E144" t="inlineStr">
        <is>
          <t>VINDELN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12037-2025</t>
        </is>
      </c>
      <c r="B145" s="1" t="n">
        <v>45728</v>
      </c>
      <c r="C145" s="1" t="n">
        <v>46197</v>
      </c>
      <c r="D145" t="inlineStr">
        <is>
          <t>VÄSTERBOTTENS LÄN</t>
        </is>
      </c>
      <c r="E145" t="inlineStr">
        <is>
          <t>VINDELN</t>
        </is>
      </c>
      <c r="G145" t="n">
        <v>12.6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13091-2025</t>
        </is>
      </c>
      <c r="B146" s="1" t="n">
        <v>45734</v>
      </c>
      <c r="C146" s="1" t="n">
        <v>46197</v>
      </c>
      <c r="D146" t="inlineStr">
        <is>
          <t>VÄSTERBOTTENS LÄN</t>
        </is>
      </c>
      <c r="E146" t="inlineStr">
        <is>
          <t>VINDELN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40000-2024</t>
        </is>
      </c>
      <c r="B147" s="1" t="n">
        <v>45553</v>
      </c>
      <c r="C147" s="1" t="n">
        <v>46197</v>
      </c>
      <c r="D147" t="inlineStr">
        <is>
          <t>VÄSTERBOTTENS LÄN</t>
        </is>
      </c>
      <c r="E147" t="inlineStr">
        <is>
          <t>VINDELN</t>
        </is>
      </c>
      <c r="F147" t="inlineStr">
        <is>
          <t>Holmen skog AB</t>
        </is>
      </c>
      <c r="G147" t="n">
        <v>13.4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44437-2022</t>
        </is>
      </c>
      <c r="B148" s="1" t="n">
        <v>44839</v>
      </c>
      <c r="C148" s="1" t="n">
        <v>46197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SCA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41113-2021</t>
        </is>
      </c>
      <c r="B149" s="1" t="n">
        <v>44423</v>
      </c>
      <c r="C149" s="1" t="n">
        <v>46197</v>
      </c>
      <c r="D149" t="inlineStr">
        <is>
          <t>VÄSTERBOTTENS LÄN</t>
        </is>
      </c>
      <c r="E149" t="inlineStr">
        <is>
          <t>VINDELN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39425-2022</t>
        </is>
      </c>
      <c r="B150" s="1" t="n">
        <v>44818</v>
      </c>
      <c r="C150" s="1" t="n">
        <v>46197</v>
      </c>
      <c r="D150" t="inlineStr">
        <is>
          <t>VÄSTERBOTTENS LÄN</t>
        </is>
      </c>
      <c r="E150" t="inlineStr">
        <is>
          <t>VINDELN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32435-2024</t>
        </is>
      </c>
      <c r="B151" s="1" t="n">
        <v>45512</v>
      </c>
      <c r="C151" s="1" t="n">
        <v>46197</v>
      </c>
      <c r="D151" t="inlineStr">
        <is>
          <t>VÄSTERBOTTENS LÄN</t>
        </is>
      </c>
      <c r="E151" t="inlineStr">
        <is>
          <t>VINDELN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41076-2022</t>
        </is>
      </c>
      <c r="B152" s="1" t="n">
        <v>44825</v>
      </c>
      <c r="C152" s="1" t="n">
        <v>46197</v>
      </c>
      <c r="D152" t="inlineStr">
        <is>
          <t>VÄSTERBOTTENS LÄN</t>
        </is>
      </c>
      <c r="E152" t="inlineStr">
        <is>
          <t>VINDELN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34563-2022</t>
        </is>
      </c>
      <c r="B153" s="1" t="n">
        <v>44794</v>
      </c>
      <c r="C153" s="1" t="n">
        <v>46197</v>
      </c>
      <c r="D153" t="inlineStr">
        <is>
          <t>VÄSTERBOTTENS LÄN</t>
        </is>
      </c>
      <c r="E153" t="inlineStr">
        <is>
          <t>VINDELN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6463-2024</t>
        </is>
      </c>
      <c r="B154" s="1" t="n">
        <v>45338</v>
      </c>
      <c r="C154" s="1" t="n">
        <v>46197</v>
      </c>
      <c r="D154" t="inlineStr">
        <is>
          <t>VÄSTERBOTTENS LÄN</t>
        </is>
      </c>
      <c r="E154" t="inlineStr">
        <is>
          <t>VINDELN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11092-2025</t>
        </is>
      </c>
      <c r="B155" s="1" t="n">
        <v>45723</v>
      </c>
      <c r="C155" s="1" t="n">
        <v>46197</v>
      </c>
      <c r="D155" t="inlineStr">
        <is>
          <t>VÄSTERBOTTENS LÄN</t>
        </is>
      </c>
      <c r="E155" t="inlineStr">
        <is>
          <t>VINDELN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16764-2025</t>
        </is>
      </c>
      <c r="B156" s="1" t="n">
        <v>45754</v>
      </c>
      <c r="C156" s="1" t="n">
        <v>46197</v>
      </c>
      <c r="D156" t="inlineStr">
        <is>
          <t>VÄSTERBOTTENS LÄN</t>
        </is>
      </c>
      <c r="E156" t="inlineStr">
        <is>
          <t>VINDELN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10162-2025</t>
        </is>
      </c>
      <c r="B157" s="1" t="n">
        <v>45719</v>
      </c>
      <c r="C157" s="1" t="n">
        <v>46197</v>
      </c>
      <c r="D157" t="inlineStr">
        <is>
          <t>VÄSTERBOTTENS LÄN</t>
        </is>
      </c>
      <c r="E157" t="inlineStr">
        <is>
          <t>VINDELN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48702-2023</t>
        </is>
      </c>
      <c r="B158" s="1" t="n">
        <v>45208</v>
      </c>
      <c r="C158" s="1" t="n">
        <v>46197</v>
      </c>
      <c r="D158" t="inlineStr">
        <is>
          <t>VÄSTERBOTTENS LÄN</t>
        </is>
      </c>
      <c r="E158" t="inlineStr">
        <is>
          <t>VINDELN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55745-2022</t>
        </is>
      </c>
      <c r="B159" s="1" t="n">
        <v>44886</v>
      </c>
      <c r="C159" s="1" t="n">
        <v>46197</v>
      </c>
      <c r="D159" t="inlineStr">
        <is>
          <t>VÄSTERBOTTENS LÄN</t>
        </is>
      </c>
      <c r="E159" t="inlineStr">
        <is>
          <t>VINDELN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13830-2024</t>
        </is>
      </c>
      <c r="B160" s="1" t="n">
        <v>45390</v>
      </c>
      <c r="C160" s="1" t="n">
        <v>46197</v>
      </c>
      <c r="D160" t="inlineStr">
        <is>
          <t>VÄSTERBOTTENS LÄN</t>
        </is>
      </c>
      <c r="E160" t="inlineStr">
        <is>
          <t>VINDELN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22640-2024</t>
        </is>
      </c>
      <c r="B161" s="1" t="n">
        <v>45447</v>
      </c>
      <c r="C161" s="1" t="n">
        <v>46197</v>
      </c>
      <c r="D161" t="inlineStr">
        <is>
          <t>VÄSTERBOTTENS LÄN</t>
        </is>
      </c>
      <c r="E161" t="inlineStr">
        <is>
          <t>VINDELN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34830-2021</t>
        </is>
      </c>
      <c r="B162" s="1" t="n">
        <v>44383</v>
      </c>
      <c r="C162" s="1" t="n">
        <v>46197</v>
      </c>
      <c r="D162" t="inlineStr">
        <is>
          <t>VÄSTERBOTTENS LÄN</t>
        </is>
      </c>
      <c r="E162" t="inlineStr">
        <is>
          <t>VINDELN</t>
        </is>
      </c>
      <c r="G162" t="n">
        <v>8.5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23955-2024</t>
        </is>
      </c>
      <c r="B163" s="1" t="n">
        <v>45455</v>
      </c>
      <c r="C163" s="1" t="n">
        <v>46197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536-2024</t>
        </is>
      </c>
      <c r="B164" s="1" t="n">
        <v>45299</v>
      </c>
      <c r="C164" s="1" t="n">
        <v>46197</v>
      </c>
      <c r="D164" t="inlineStr">
        <is>
          <t>VÄSTERBOTTENS LÄN</t>
        </is>
      </c>
      <c r="E164" t="inlineStr">
        <is>
          <t>VINDELN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52460-2023</t>
        </is>
      </c>
      <c r="B165" s="1" t="n">
        <v>45225</v>
      </c>
      <c r="C165" s="1" t="n">
        <v>46197</v>
      </c>
      <c r="D165" t="inlineStr">
        <is>
          <t>VÄSTERBOTTENS LÄN</t>
        </is>
      </c>
      <c r="E165" t="inlineStr">
        <is>
          <t>VINDELN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18152-2024</t>
        </is>
      </c>
      <c r="B166" s="1" t="n">
        <v>45420</v>
      </c>
      <c r="C166" s="1" t="n">
        <v>46197</v>
      </c>
      <c r="D166" t="inlineStr">
        <is>
          <t>VÄSTERBOTTENS LÄN</t>
        </is>
      </c>
      <c r="E166" t="inlineStr">
        <is>
          <t>VINDELN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23463-2024</t>
        </is>
      </c>
      <c r="B167" s="1" t="n">
        <v>45453</v>
      </c>
      <c r="C167" s="1" t="n">
        <v>46197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Sveaskog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35839-2024</t>
        </is>
      </c>
      <c r="B168" s="1" t="n">
        <v>45532</v>
      </c>
      <c r="C168" s="1" t="n">
        <v>46197</v>
      </c>
      <c r="D168" t="inlineStr">
        <is>
          <t>VÄSTERBOTTENS LÄN</t>
        </is>
      </c>
      <c r="E168" t="inlineStr">
        <is>
          <t>VINDELN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23562-2024</t>
        </is>
      </c>
      <c r="B169" s="1" t="n">
        <v>45453</v>
      </c>
      <c r="C169" s="1" t="n">
        <v>46197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58581-2022</t>
        </is>
      </c>
      <c r="B170" s="1" t="n">
        <v>44902</v>
      </c>
      <c r="C170" s="1" t="n">
        <v>46197</v>
      </c>
      <c r="D170" t="inlineStr">
        <is>
          <t>VÄSTERBOTTENS LÄN</t>
        </is>
      </c>
      <c r="E170" t="inlineStr">
        <is>
          <t>VINDELN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33120-2023</t>
        </is>
      </c>
      <c r="B171" s="1" t="n">
        <v>45114</v>
      </c>
      <c r="C171" s="1" t="n">
        <v>46197</v>
      </c>
      <c r="D171" t="inlineStr">
        <is>
          <t>VÄSTERBOTTENS LÄN</t>
        </is>
      </c>
      <c r="E171" t="inlineStr">
        <is>
          <t>VINDELN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45345-2024</t>
        </is>
      </c>
      <c r="B172" s="1" t="n">
        <v>45576</v>
      </c>
      <c r="C172" s="1" t="n">
        <v>46197</v>
      </c>
      <c r="D172" t="inlineStr">
        <is>
          <t>VÄSTERBOTTENS LÄN</t>
        </is>
      </c>
      <c r="E172" t="inlineStr">
        <is>
          <t>VINDELN</t>
        </is>
      </c>
      <c r="F172" t="inlineStr">
        <is>
          <t>Holmen skog AB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14697-2024</t>
        </is>
      </c>
      <c r="B173" s="1" t="n">
        <v>45397</v>
      </c>
      <c r="C173" s="1" t="n">
        <v>46197</v>
      </c>
      <c r="D173" t="inlineStr">
        <is>
          <t>VÄSTERBOTTENS LÄN</t>
        </is>
      </c>
      <c r="E173" t="inlineStr">
        <is>
          <t>VINDELN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46105-2022</t>
        </is>
      </c>
      <c r="B174" s="1" t="n">
        <v>44845</v>
      </c>
      <c r="C174" s="1" t="n">
        <v>46197</v>
      </c>
      <c r="D174" t="inlineStr">
        <is>
          <t>VÄSTERBOTTENS LÄN</t>
        </is>
      </c>
      <c r="E174" t="inlineStr">
        <is>
          <t>VINDELN</t>
        </is>
      </c>
      <c r="G174" t="n">
        <v>8.6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5741-2023</t>
        </is>
      </c>
      <c r="B175" s="1" t="n">
        <v>44962</v>
      </c>
      <c r="C175" s="1" t="n">
        <v>46197</v>
      </c>
      <c r="D175" t="inlineStr">
        <is>
          <t>VÄSTERBOTTENS LÄN</t>
        </is>
      </c>
      <c r="E175" t="inlineStr">
        <is>
          <t>VINDELN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1680-2024</t>
        </is>
      </c>
      <c r="B176" s="1" t="n">
        <v>45306</v>
      </c>
      <c r="C176" s="1" t="n">
        <v>46197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SCA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56104-2022</t>
        </is>
      </c>
      <c r="B177" s="1" t="n">
        <v>44889</v>
      </c>
      <c r="C177" s="1" t="n">
        <v>46197</v>
      </c>
      <c r="D177" t="inlineStr">
        <is>
          <t>VÄSTERBOTTENS LÄN</t>
        </is>
      </c>
      <c r="E177" t="inlineStr">
        <is>
          <t>VINDELN</t>
        </is>
      </c>
      <c r="F177" t="inlineStr">
        <is>
          <t>Holmen skog AB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23563-2024</t>
        </is>
      </c>
      <c r="B178" s="1" t="n">
        <v>45453</v>
      </c>
      <c r="C178" s="1" t="n">
        <v>46197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SCA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57868-2023</t>
        </is>
      </c>
      <c r="B179" s="1" t="n">
        <v>45247</v>
      </c>
      <c r="C179" s="1" t="n">
        <v>46197</v>
      </c>
      <c r="D179" t="inlineStr">
        <is>
          <t>VÄSTERBOTTENS LÄN</t>
        </is>
      </c>
      <c r="E179" t="inlineStr">
        <is>
          <t>VINDELN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62605-2023</t>
        </is>
      </c>
      <c r="B180" s="1" t="n">
        <v>45267</v>
      </c>
      <c r="C180" s="1" t="n">
        <v>46197</v>
      </c>
      <c r="D180" t="inlineStr">
        <is>
          <t>VÄSTERBOTTENS LÄN</t>
        </is>
      </c>
      <c r="E180" t="inlineStr">
        <is>
          <t>VINDELN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25670-2024</t>
        </is>
      </c>
      <c r="B181" s="1" t="n">
        <v>45463</v>
      </c>
      <c r="C181" s="1" t="n">
        <v>46197</v>
      </c>
      <c r="D181" t="inlineStr">
        <is>
          <t>VÄSTERBOTTENS LÄN</t>
        </is>
      </c>
      <c r="E181" t="inlineStr">
        <is>
          <t>VINDELN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23561-2024</t>
        </is>
      </c>
      <c r="B182" s="1" t="n">
        <v>45453</v>
      </c>
      <c r="C182" s="1" t="n">
        <v>46197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SCA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45703-2021</t>
        </is>
      </c>
      <c r="B183" s="1" t="n">
        <v>44441</v>
      </c>
      <c r="C183" s="1" t="n">
        <v>46197</v>
      </c>
      <c r="D183" t="inlineStr">
        <is>
          <t>VÄSTERBOTTENS LÄN</t>
        </is>
      </c>
      <c r="E183" t="inlineStr">
        <is>
          <t>VINDELN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32222-2024</t>
        </is>
      </c>
      <c r="B184" s="1" t="n">
        <v>45511</v>
      </c>
      <c r="C184" s="1" t="n">
        <v>46197</v>
      </c>
      <c r="D184" t="inlineStr">
        <is>
          <t>VÄSTERBOTTENS LÄN</t>
        </is>
      </c>
      <c r="E184" t="inlineStr">
        <is>
          <t>VINDELN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31762-2024</t>
        </is>
      </c>
      <c r="B185" s="1" t="n">
        <v>45509</v>
      </c>
      <c r="C185" s="1" t="n">
        <v>46197</v>
      </c>
      <c r="D185" t="inlineStr">
        <is>
          <t>VÄSTERBOTTENS LÄN</t>
        </is>
      </c>
      <c r="E185" t="inlineStr">
        <is>
          <t>VINDELN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54691-2022</t>
        </is>
      </c>
      <c r="B186" s="1" t="n">
        <v>44881</v>
      </c>
      <c r="C186" s="1" t="n">
        <v>46197</v>
      </c>
      <c r="D186" t="inlineStr">
        <is>
          <t>VÄSTERBOTTENS LÄN</t>
        </is>
      </c>
      <c r="E186" t="inlineStr">
        <is>
          <t>VINDELN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54725-2022</t>
        </is>
      </c>
      <c r="B187" s="1" t="n">
        <v>44883</v>
      </c>
      <c r="C187" s="1" t="n">
        <v>46197</v>
      </c>
      <c r="D187" t="inlineStr">
        <is>
          <t>VÄSTERBOTTENS LÄN</t>
        </is>
      </c>
      <c r="E187" t="inlineStr">
        <is>
          <t>VINDELN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55096-2022</t>
        </is>
      </c>
      <c r="B188" s="1" t="n">
        <v>44882</v>
      </c>
      <c r="C188" s="1" t="n">
        <v>46197</v>
      </c>
      <c r="D188" t="inlineStr">
        <is>
          <t>VÄSTERBOTTENS LÄN</t>
        </is>
      </c>
      <c r="E188" t="inlineStr">
        <is>
          <t>VINDELN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38165-2024</t>
        </is>
      </c>
      <c r="B189" s="1" t="n">
        <v>45545</v>
      </c>
      <c r="C189" s="1" t="n">
        <v>46197</v>
      </c>
      <c r="D189" t="inlineStr">
        <is>
          <t>VÄSTERBOTTENS LÄN</t>
        </is>
      </c>
      <c r="E189" t="inlineStr">
        <is>
          <t>VINDELN</t>
        </is>
      </c>
      <c r="F189" t="inlineStr">
        <is>
          <t>Holmen skog AB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64205-2023</t>
        </is>
      </c>
      <c r="B190" s="1" t="n">
        <v>45279</v>
      </c>
      <c r="C190" s="1" t="n">
        <v>46197</v>
      </c>
      <c r="D190" t="inlineStr">
        <is>
          <t>VÄSTERBOTTENS LÄN</t>
        </is>
      </c>
      <c r="E190" t="inlineStr">
        <is>
          <t>VINDELN</t>
        </is>
      </c>
      <c r="F190" t="inlineStr">
        <is>
          <t>Holmen skog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35124-2024</t>
        </is>
      </c>
      <c r="B191" s="1" t="n">
        <v>45530</v>
      </c>
      <c r="C191" s="1" t="n">
        <v>46197</v>
      </c>
      <c r="D191" t="inlineStr">
        <is>
          <t>VÄSTERBOTTENS LÄN</t>
        </is>
      </c>
      <c r="E191" t="inlineStr">
        <is>
          <t>VINDELN</t>
        </is>
      </c>
      <c r="G191" t="n">
        <v>16.7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31625-2024</t>
        </is>
      </c>
      <c r="B192" s="1" t="n">
        <v>45506</v>
      </c>
      <c r="C192" s="1" t="n">
        <v>46197</v>
      </c>
      <c r="D192" t="inlineStr">
        <is>
          <t>VÄSTERBOTTENS LÄN</t>
        </is>
      </c>
      <c r="E192" t="inlineStr">
        <is>
          <t>VINDELN</t>
        </is>
      </c>
      <c r="G192" t="n">
        <v>14.1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36665-2024</t>
        </is>
      </c>
      <c r="B193" s="1" t="n">
        <v>45537</v>
      </c>
      <c r="C193" s="1" t="n">
        <v>46197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Sveaskog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58700-2022</t>
        </is>
      </c>
      <c r="B194" s="1" t="n">
        <v>44902</v>
      </c>
      <c r="C194" s="1" t="n">
        <v>46197</v>
      </c>
      <c r="D194" t="inlineStr">
        <is>
          <t>VÄSTERBOTTENS LÄN</t>
        </is>
      </c>
      <c r="E194" t="inlineStr">
        <is>
          <t>VINDELN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60757-2022</t>
        </is>
      </c>
      <c r="B195" s="1" t="n">
        <v>44914</v>
      </c>
      <c r="C195" s="1" t="n">
        <v>46197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1883-2026</t>
        </is>
      </c>
      <c r="B196" s="1" t="n">
        <v>46035</v>
      </c>
      <c r="C196" s="1" t="n">
        <v>46197</v>
      </c>
      <c r="D196" t="inlineStr">
        <is>
          <t>VÄSTERBOTTENS LÄN</t>
        </is>
      </c>
      <c r="E196" t="inlineStr">
        <is>
          <t>VINDELN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43080-2024</t>
        </is>
      </c>
      <c r="B197" s="1" t="n">
        <v>45567</v>
      </c>
      <c r="C197" s="1" t="n">
        <v>46197</v>
      </c>
      <c r="D197" t="inlineStr">
        <is>
          <t>VÄSTERBOTTENS LÄN</t>
        </is>
      </c>
      <c r="E197" t="inlineStr">
        <is>
          <t>VINDELN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26332-2025</t>
        </is>
      </c>
      <c r="B198" s="1" t="n">
        <v>45805</v>
      </c>
      <c r="C198" s="1" t="n">
        <v>46197</v>
      </c>
      <c r="D198" t="inlineStr">
        <is>
          <t>VÄSTERBOTTENS LÄN</t>
        </is>
      </c>
      <c r="E198" t="inlineStr">
        <is>
          <t>VINDELN</t>
        </is>
      </c>
      <c r="F198" t="inlineStr">
        <is>
          <t>Holmen skog AB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52178-2022</t>
        </is>
      </c>
      <c r="B199" s="1" t="n">
        <v>44868</v>
      </c>
      <c r="C199" s="1" t="n">
        <v>46197</v>
      </c>
      <c r="D199" t="inlineStr">
        <is>
          <t>VÄSTERBOTTENS LÄN</t>
        </is>
      </c>
      <c r="E199" t="inlineStr">
        <is>
          <t>VINDELN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4879-2024</t>
        </is>
      </c>
      <c r="B200" s="1" t="n">
        <v>45329</v>
      </c>
      <c r="C200" s="1" t="n">
        <v>46197</v>
      </c>
      <c r="D200" t="inlineStr">
        <is>
          <t>VÄSTERBOTTENS LÄN</t>
        </is>
      </c>
      <c r="E200" t="inlineStr">
        <is>
          <t>VINDELN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36589-2024</t>
        </is>
      </c>
      <c r="B201" s="1" t="n">
        <v>45537</v>
      </c>
      <c r="C201" s="1" t="n">
        <v>46197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Sveaskog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36839-2024</t>
        </is>
      </c>
      <c r="B202" s="1" t="n">
        <v>45538</v>
      </c>
      <c r="C202" s="1" t="n">
        <v>46197</v>
      </c>
      <c r="D202" t="inlineStr">
        <is>
          <t>VÄSTERBOTTENS LÄN</t>
        </is>
      </c>
      <c r="E202" t="inlineStr">
        <is>
          <t>VINDELN</t>
        </is>
      </c>
      <c r="F202" t="inlineStr">
        <is>
          <t>Holmen skog AB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3300-2026</t>
        </is>
      </c>
      <c r="B203" s="1" t="n">
        <v>46041</v>
      </c>
      <c r="C203" s="1" t="n">
        <v>46197</v>
      </c>
      <c r="D203" t="inlineStr">
        <is>
          <t>VÄSTERBOTTENS LÄN</t>
        </is>
      </c>
      <c r="E203" t="inlineStr">
        <is>
          <t>VINDELN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26512-2025</t>
        </is>
      </c>
      <c r="B204" s="1" t="n">
        <v>45807</v>
      </c>
      <c r="C204" s="1" t="n">
        <v>46197</v>
      </c>
      <c r="D204" t="inlineStr">
        <is>
          <t>VÄSTERBOTTENS LÄN</t>
        </is>
      </c>
      <c r="E204" t="inlineStr">
        <is>
          <t>VINDELN</t>
        </is>
      </c>
      <c r="F204" t="inlineStr">
        <is>
          <t>Holmen skog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43518-2023</t>
        </is>
      </c>
      <c r="B205" s="1" t="n">
        <v>45181</v>
      </c>
      <c r="C205" s="1" t="n">
        <v>46197</v>
      </c>
      <c r="D205" t="inlineStr">
        <is>
          <t>VÄSTERBOTTENS LÄN</t>
        </is>
      </c>
      <c r="E205" t="inlineStr">
        <is>
          <t>VINDELN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26522-2025</t>
        </is>
      </c>
      <c r="B206" s="1" t="n">
        <v>45807</v>
      </c>
      <c r="C206" s="1" t="n">
        <v>46197</v>
      </c>
      <c r="D206" t="inlineStr">
        <is>
          <t>VÄSTERBOTTENS LÄN</t>
        </is>
      </c>
      <c r="E206" t="inlineStr">
        <is>
          <t>VINDELN</t>
        </is>
      </c>
      <c r="F206" t="inlineStr">
        <is>
          <t>Holmen skog AB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18664-2024</t>
        </is>
      </c>
      <c r="B207" s="1" t="n">
        <v>45425</v>
      </c>
      <c r="C207" s="1" t="n">
        <v>46197</v>
      </c>
      <c r="D207" t="inlineStr">
        <is>
          <t>VÄSTERBOTTENS LÄN</t>
        </is>
      </c>
      <c r="E207" t="inlineStr">
        <is>
          <t>VINDELN</t>
        </is>
      </c>
      <c r="G207" t="n">
        <v>14.6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5248-2024</t>
        </is>
      </c>
      <c r="B208" s="1" t="n">
        <v>45330</v>
      </c>
      <c r="C208" s="1" t="n">
        <v>46197</v>
      </c>
      <c r="D208" t="inlineStr">
        <is>
          <t>VÄSTERBOTTENS LÄN</t>
        </is>
      </c>
      <c r="E208" t="inlineStr">
        <is>
          <t>VINDELN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26769-2025</t>
        </is>
      </c>
      <c r="B209" s="1" t="n">
        <v>45810</v>
      </c>
      <c r="C209" s="1" t="n">
        <v>46197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27051-2025</t>
        </is>
      </c>
      <c r="B210" s="1" t="n">
        <v>45811</v>
      </c>
      <c r="C210" s="1" t="n">
        <v>46197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26919-2025</t>
        </is>
      </c>
      <c r="B211" s="1" t="n">
        <v>45811</v>
      </c>
      <c r="C211" s="1" t="n">
        <v>46197</v>
      </c>
      <c r="D211" t="inlineStr">
        <is>
          <t>VÄSTERBOTTENS LÄN</t>
        </is>
      </c>
      <c r="E211" t="inlineStr">
        <is>
          <t>VINDELN</t>
        </is>
      </c>
      <c r="F211" t="inlineStr">
        <is>
          <t>Sveaskog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38837-2025</t>
        </is>
      </c>
      <c r="B212" s="1" t="n">
        <v>45887</v>
      </c>
      <c r="C212" s="1" t="n">
        <v>46197</v>
      </c>
      <c r="D212" t="inlineStr">
        <is>
          <t>VÄSTERBOTTENS LÄN</t>
        </is>
      </c>
      <c r="E212" t="inlineStr">
        <is>
          <t>VINDELN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3242-2026</t>
        </is>
      </c>
      <c r="B213" s="1" t="n">
        <v>46041</v>
      </c>
      <c r="C213" s="1" t="n">
        <v>46197</v>
      </c>
      <c r="D213" t="inlineStr">
        <is>
          <t>VÄSTERBOTTENS LÄN</t>
        </is>
      </c>
      <c r="E213" t="inlineStr">
        <is>
          <t>VINDELN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51073-2024</t>
        </is>
      </c>
      <c r="B214" s="1" t="n">
        <v>45603</v>
      </c>
      <c r="C214" s="1" t="n">
        <v>46197</v>
      </c>
      <c r="D214" t="inlineStr">
        <is>
          <t>VÄSTERBOTTENS LÄN</t>
        </is>
      </c>
      <c r="E214" t="inlineStr">
        <is>
          <t>VINDELN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13836-2025</t>
        </is>
      </c>
      <c r="B215" s="1" t="n">
        <v>45737</v>
      </c>
      <c r="C215" s="1" t="n">
        <v>46197</v>
      </c>
      <c r="D215" t="inlineStr">
        <is>
          <t>VÄSTERBOTTENS LÄN</t>
        </is>
      </c>
      <c r="E215" t="inlineStr">
        <is>
          <t>VINDELN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27049-2025</t>
        </is>
      </c>
      <c r="B216" s="1" t="n">
        <v>45811</v>
      </c>
      <c r="C216" s="1" t="n">
        <v>46197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Sveaskog</t>
        </is>
      </c>
      <c r="G216" t="n">
        <v>18.4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38833-2025</t>
        </is>
      </c>
      <c r="B217" s="1" t="n">
        <v>45887</v>
      </c>
      <c r="C217" s="1" t="n">
        <v>46197</v>
      </c>
      <c r="D217" t="inlineStr">
        <is>
          <t>VÄSTERBOTTENS LÄN</t>
        </is>
      </c>
      <c r="E217" t="inlineStr">
        <is>
          <t>VINDELN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38832-2025</t>
        </is>
      </c>
      <c r="B218" s="1" t="n">
        <v>45887</v>
      </c>
      <c r="C218" s="1" t="n">
        <v>46197</v>
      </c>
      <c r="D218" t="inlineStr">
        <is>
          <t>VÄSTERBOTTENS LÄN</t>
        </is>
      </c>
      <c r="E218" t="inlineStr">
        <is>
          <t>VINDELN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27657-2025</t>
        </is>
      </c>
      <c r="B219" s="1" t="n">
        <v>45813</v>
      </c>
      <c r="C219" s="1" t="n">
        <v>46197</v>
      </c>
      <c r="D219" t="inlineStr">
        <is>
          <t>VÄSTERBOTTENS LÄN</t>
        </is>
      </c>
      <c r="E219" t="inlineStr">
        <is>
          <t>VINDELN</t>
        </is>
      </c>
      <c r="F219" t="inlineStr">
        <is>
          <t>Holmen skog AB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27568-2025</t>
        </is>
      </c>
      <c r="B220" s="1" t="n">
        <v>45813</v>
      </c>
      <c r="C220" s="1" t="n">
        <v>46197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27038-2025</t>
        </is>
      </c>
      <c r="B221" s="1" t="n">
        <v>45811</v>
      </c>
      <c r="C221" s="1" t="n">
        <v>46197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Sveaskog</t>
        </is>
      </c>
      <c r="G221" t="n">
        <v>16.8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27695-2025</t>
        </is>
      </c>
      <c r="B222" s="1" t="n">
        <v>45813</v>
      </c>
      <c r="C222" s="1" t="n">
        <v>46197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SCA</t>
        </is>
      </c>
      <c r="G222" t="n">
        <v>20.5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28014-2025</t>
        </is>
      </c>
      <c r="B223" s="1" t="n">
        <v>45817</v>
      </c>
      <c r="C223" s="1" t="n">
        <v>46197</v>
      </c>
      <c r="D223" t="inlineStr">
        <is>
          <t>VÄSTERBOTTENS LÄN</t>
        </is>
      </c>
      <c r="E223" t="inlineStr">
        <is>
          <t>VINDELN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31904-2024</t>
        </is>
      </c>
      <c r="B224" s="1" t="n">
        <v>45510</v>
      </c>
      <c r="C224" s="1" t="n">
        <v>46197</v>
      </c>
      <c r="D224" t="inlineStr">
        <is>
          <t>VÄSTERBOTTENS LÄN</t>
        </is>
      </c>
      <c r="E224" t="inlineStr">
        <is>
          <t>VINDELN</t>
        </is>
      </c>
      <c r="F224" t="inlineStr">
        <is>
          <t>Holmen skog AB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32492-2024</t>
        </is>
      </c>
      <c r="B225" s="1" t="n">
        <v>45513</v>
      </c>
      <c r="C225" s="1" t="n">
        <v>46197</v>
      </c>
      <c r="D225" t="inlineStr">
        <is>
          <t>VÄSTERBOTTENS LÄN</t>
        </is>
      </c>
      <c r="E225" t="inlineStr">
        <is>
          <t>VINDELN</t>
        </is>
      </c>
      <c r="G225" t="n">
        <v>10.2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62585-2022</t>
        </is>
      </c>
      <c r="B226" s="1" t="n">
        <v>44924</v>
      </c>
      <c r="C226" s="1" t="n">
        <v>46197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SCA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28051-2025</t>
        </is>
      </c>
      <c r="B227" s="1" t="n">
        <v>45817</v>
      </c>
      <c r="C227" s="1" t="n">
        <v>46197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27799-2025</t>
        </is>
      </c>
      <c r="B228" s="1" t="n">
        <v>45816</v>
      </c>
      <c r="C228" s="1" t="n">
        <v>46197</v>
      </c>
      <c r="D228" t="inlineStr">
        <is>
          <t>VÄSTERBOTTENS LÄN</t>
        </is>
      </c>
      <c r="E228" t="inlineStr">
        <is>
          <t>VINDELN</t>
        </is>
      </c>
      <c r="F228" t="inlineStr">
        <is>
          <t>Holmen skog AB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29468-2024</t>
        </is>
      </c>
      <c r="B229" s="1" t="n">
        <v>45483</v>
      </c>
      <c r="C229" s="1" t="n">
        <v>46197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25704-2025</t>
        </is>
      </c>
      <c r="B230" s="1" t="n">
        <v>45803</v>
      </c>
      <c r="C230" s="1" t="n">
        <v>46197</v>
      </c>
      <c r="D230" t="inlineStr">
        <is>
          <t>VÄSTERBOTTENS LÄN</t>
        </is>
      </c>
      <c r="E230" t="inlineStr">
        <is>
          <t>VINDELN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28706-2025</t>
        </is>
      </c>
      <c r="B231" s="1" t="n">
        <v>45820</v>
      </c>
      <c r="C231" s="1" t="n">
        <v>46197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54024-2024</t>
        </is>
      </c>
      <c r="B232" s="1" t="n">
        <v>45616</v>
      </c>
      <c r="C232" s="1" t="n">
        <v>46197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54030-2024</t>
        </is>
      </c>
      <c r="B233" s="1" t="n">
        <v>45616</v>
      </c>
      <c r="C233" s="1" t="n">
        <v>46197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54033-2024</t>
        </is>
      </c>
      <c r="B234" s="1" t="n">
        <v>45616</v>
      </c>
      <c r="C234" s="1" t="n">
        <v>46197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Sveaskog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28528-2025</t>
        </is>
      </c>
      <c r="B235" s="1" t="n">
        <v>45819</v>
      </c>
      <c r="C235" s="1" t="n">
        <v>46197</v>
      </c>
      <c r="D235" t="inlineStr">
        <is>
          <t>VÄSTERBOTTENS LÄN</t>
        </is>
      </c>
      <c r="E235" t="inlineStr">
        <is>
          <t>VINDELN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40024-2025</t>
        </is>
      </c>
      <c r="B236" s="1" t="n">
        <v>45894</v>
      </c>
      <c r="C236" s="1" t="n">
        <v>46197</v>
      </c>
      <c r="D236" t="inlineStr">
        <is>
          <t>VÄSTERBOTTENS LÄN</t>
        </is>
      </c>
      <c r="E236" t="inlineStr">
        <is>
          <t>VINDELN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28816-2025</t>
        </is>
      </c>
      <c r="B237" s="1" t="n">
        <v>45820</v>
      </c>
      <c r="C237" s="1" t="n">
        <v>46197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SCA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2410-2023</t>
        </is>
      </c>
      <c r="B238" s="1" t="n">
        <v>44942</v>
      </c>
      <c r="C238" s="1" t="n">
        <v>46197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SCA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34402-2024</t>
        </is>
      </c>
      <c r="B239" s="1" t="n">
        <v>45525</v>
      </c>
      <c r="C239" s="1" t="n">
        <v>46197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40263-2025</t>
        </is>
      </c>
      <c r="B240" s="1" t="n">
        <v>45895</v>
      </c>
      <c r="C240" s="1" t="n">
        <v>46197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40531-2025</t>
        </is>
      </c>
      <c r="B241" s="1" t="n">
        <v>45896</v>
      </c>
      <c r="C241" s="1" t="n">
        <v>46197</v>
      </c>
      <c r="D241" t="inlineStr">
        <is>
          <t>VÄSTERBOTTENS LÄN</t>
        </is>
      </c>
      <c r="E241" t="inlineStr">
        <is>
          <t>VINDELN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73893-2021</t>
        </is>
      </c>
      <c r="B242" s="1" t="n">
        <v>44552</v>
      </c>
      <c r="C242" s="1" t="n">
        <v>46197</v>
      </c>
      <c r="D242" t="inlineStr">
        <is>
          <t>VÄSTERBOTTENS LÄN</t>
        </is>
      </c>
      <c r="E242" t="inlineStr">
        <is>
          <t>VINDELN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40600-2025</t>
        </is>
      </c>
      <c r="B243" s="1" t="n">
        <v>45896</v>
      </c>
      <c r="C243" s="1" t="n">
        <v>46197</v>
      </c>
      <c r="D243" t="inlineStr">
        <is>
          <t>VÄSTERBOTTENS LÄN</t>
        </is>
      </c>
      <c r="E243" t="inlineStr">
        <is>
          <t>VINDELN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40603-2025</t>
        </is>
      </c>
      <c r="B244" s="1" t="n">
        <v>45896</v>
      </c>
      <c r="C244" s="1" t="n">
        <v>46197</v>
      </c>
      <c r="D244" t="inlineStr">
        <is>
          <t>VÄSTERBOTTENS LÄN</t>
        </is>
      </c>
      <c r="E244" t="inlineStr">
        <is>
          <t>VINDELN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41007-2025</t>
        </is>
      </c>
      <c r="B245" s="1" t="n">
        <v>45898</v>
      </c>
      <c r="C245" s="1" t="n">
        <v>46197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29752-2025</t>
        </is>
      </c>
      <c r="B246" s="1" t="n">
        <v>45825</v>
      </c>
      <c r="C246" s="1" t="n">
        <v>46197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13887-2023</t>
        </is>
      </c>
      <c r="B247" s="1" t="n">
        <v>45007</v>
      </c>
      <c r="C247" s="1" t="n">
        <v>46197</v>
      </c>
      <c r="D247" t="inlineStr">
        <is>
          <t>VÄSTERBOTTENS LÄN</t>
        </is>
      </c>
      <c r="E247" t="inlineStr">
        <is>
          <t>VINDELN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29517-2025</t>
        </is>
      </c>
      <c r="B248" s="1" t="n">
        <v>45825</v>
      </c>
      <c r="C248" s="1" t="n">
        <v>46197</v>
      </c>
      <c r="D248" t="inlineStr">
        <is>
          <t>VÄSTERBOTTENS LÄN</t>
        </is>
      </c>
      <c r="E248" t="inlineStr">
        <is>
          <t>VINDELN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40874-2025</t>
        </is>
      </c>
      <c r="B249" s="1" t="n">
        <v>45897</v>
      </c>
      <c r="C249" s="1" t="n">
        <v>46197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29617-2025</t>
        </is>
      </c>
      <c r="B250" s="1" t="n">
        <v>45825</v>
      </c>
      <c r="C250" s="1" t="n">
        <v>46197</v>
      </c>
      <c r="D250" t="inlineStr">
        <is>
          <t>VÄSTERBOTTENS LÄN</t>
        </is>
      </c>
      <c r="E250" t="inlineStr">
        <is>
          <t>VINDELN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29506-2025</t>
        </is>
      </c>
      <c r="B251" s="1" t="n">
        <v>45825</v>
      </c>
      <c r="C251" s="1" t="n">
        <v>46197</v>
      </c>
      <c r="D251" t="inlineStr">
        <is>
          <t>VÄSTERBOTTENS LÄN</t>
        </is>
      </c>
      <c r="E251" t="inlineStr">
        <is>
          <t>VINDELN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56182-2023</t>
        </is>
      </c>
      <c r="B252" s="1" t="n">
        <v>45240</v>
      </c>
      <c r="C252" s="1" t="n">
        <v>46197</v>
      </c>
      <c r="D252" t="inlineStr">
        <is>
          <t>VÄSTERBOTTENS LÄN</t>
        </is>
      </c>
      <c r="E252" t="inlineStr">
        <is>
          <t>VINDELN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29604-2025</t>
        </is>
      </c>
      <c r="B253" s="1" t="n">
        <v>45825</v>
      </c>
      <c r="C253" s="1" t="n">
        <v>46197</v>
      </c>
      <c r="D253" t="inlineStr">
        <is>
          <t>VÄSTERBOTTENS LÄN</t>
        </is>
      </c>
      <c r="E253" t="inlineStr">
        <is>
          <t>VINDELN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41446-2025</t>
        </is>
      </c>
      <c r="B254" s="1" t="n">
        <v>45901</v>
      </c>
      <c r="C254" s="1" t="n">
        <v>46197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30449-2025</t>
        </is>
      </c>
      <c r="B255" s="1" t="n">
        <v>45827</v>
      </c>
      <c r="C255" s="1" t="n">
        <v>46197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30679-2025</t>
        </is>
      </c>
      <c r="B256" s="1" t="n">
        <v>45831</v>
      </c>
      <c r="C256" s="1" t="n">
        <v>46197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16.4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32570-2024</t>
        </is>
      </c>
      <c r="B257" s="1" t="n">
        <v>45513</v>
      </c>
      <c r="C257" s="1" t="n">
        <v>46197</v>
      </c>
      <c r="D257" t="inlineStr">
        <is>
          <t>VÄSTERBOTTENS LÄN</t>
        </is>
      </c>
      <c r="E257" t="inlineStr">
        <is>
          <t>VINDELN</t>
        </is>
      </c>
      <c r="F257" t="inlineStr">
        <is>
          <t>Holmen skog AB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30900-2025</t>
        </is>
      </c>
      <c r="B258" s="1" t="n">
        <v>45832</v>
      </c>
      <c r="C258" s="1" t="n">
        <v>46197</v>
      </c>
      <c r="D258" t="inlineStr">
        <is>
          <t>VÄSTERBOTTENS LÄN</t>
        </is>
      </c>
      <c r="E258" t="inlineStr">
        <is>
          <t>VINDELN</t>
        </is>
      </c>
      <c r="F258" t="inlineStr">
        <is>
          <t>Holmen skog AB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30991-2025</t>
        </is>
      </c>
      <c r="B259" s="1" t="n">
        <v>45832</v>
      </c>
      <c r="C259" s="1" t="n">
        <v>46197</v>
      </c>
      <c r="D259" t="inlineStr">
        <is>
          <t>VÄSTERBOTTENS LÄN</t>
        </is>
      </c>
      <c r="E259" t="inlineStr">
        <is>
          <t>VINDELN</t>
        </is>
      </c>
      <c r="F259" t="inlineStr">
        <is>
          <t>Holmen skog AB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30487-2025</t>
        </is>
      </c>
      <c r="B260" s="1" t="n">
        <v>45829</v>
      </c>
      <c r="C260" s="1" t="n">
        <v>46197</v>
      </c>
      <c r="D260" t="inlineStr">
        <is>
          <t>VÄSTERBOTTENS LÄN</t>
        </is>
      </c>
      <c r="E260" t="inlineStr">
        <is>
          <t>VINDELN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54220-2023</t>
        </is>
      </c>
      <c r="B261" s="1" t="n">
        <v>45232</v>
      </c>
      <c r="C261" s="1" t="n">
        <v>46197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30580-2025</t>
        </is>
      </c>
      <c r="B262" s="1" t="n">
        <v>45831</v>
      </c>
      <c r="C262" s="1" t="n">
        <v>46197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30945-2025</t>
        </is>
      </c>
      <c r="B263" s="1" t="n">
        <v>45832</v>
      </c>
      <c r="C263" s="1" t="n">
        <v>46197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31389-2025</t>
        </is>
      </c>
      <c r="B264" s="1" t="n">
        <v>45832</v>
      </c>
      <c r="C264" s="1" t="n">
        <v>46197</v>
      </c>
      <c r="D264" t="inlineStr">
        <is>
          <t>VÄSTERBOTTENS LÄN</t>
        </is>
      </c>
      <c r="E264" t="inlineStr">
        <is>
          <t>VINDELN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30758-2025</t>
        </is>
      </c>
      <c r="B265" s="1" t="n">
        <v>45831</v>
      </c>
      <c r="C265" s="1" t="n">
        <v>46197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31663-2025</t>
        </is>
      </c>
      <c r="B266" s="1" t="n">
        <v>45834</v>
      </c>
      <c r="C266" s="1" t="n">
        <v>46197</v>
      </c>
      <c r="D266" t="inlineStr">
        <is>
          <t>VÄSTERBOTTENS LÄN</t>
        </is>
      </c>
      <c r="E266" t="inlineStr">
        <is>
          <t>VINDELN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49629-2021</t>
        </is>
      </c>
      <c r="B267" s="1" t="n">
        <v>44455</v>
      </c>
      <c r="C267" s="1" t="n">
        <v>46197</v>
      </c>
      <c r="D267" t="inlineStr">
        <is>
          <t>VÄSTERBOTTENS LÄN</t>
        </is>
      </c>
      <c r="E267" t="inlineStr">
        <is>
          <t>VINDELN</t>
        </is>
      </c>
      <c r="F267" t="inlineStr">
        <is>
          <t>Sveaskog</t>
        </is>
      </c>
      <c r="G267" t="n">
        <v>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8974-2022</t>
        </is>
      </c>
      <c r="B268" s="1" t="n">
        <v>44614</v>
      </c>
      <c r="C268" s="1" t="n">
        <v>46197</v>
      </c>
      <c r="D268" t="inlineStr">
        <is>
          <t>VÄSTERBOTTENS LÄN</t>
        </is>
      </c>
      <c r="E268" t="inlineStr">
        <is>
          <t>VINDELN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42564-2025</t>
        </is>
      </c>
      <c r="B269" s="1" t="n">
        <v>45905</v>
      </c>
      <c r="C269" s="1" t="n">
        <v>46197</v>
      </c>
      <c r="D269" t="inlineStr">
        <is>
          <t>VÄSTERBOTTENS LÄN</t>
        </is>
      </c>
      <c r="E269" t="inlineStr">
        <is>
          <t>VINDELN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33040-2024</t>
        </is>
      </c>
      <c r="B270" s="1" t="n">
        <v>45517</v>
      </c>
      <c r="C270" s="1" t="n">
        <v>46197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10618-2025</t>
        </is>
      </c>
      <c r="B271" s="1" t="n">
        <v>45721</v>
      </c>
      <c r="C271" s="1" t="n">
        <v>46197</v>
      </c>
      <c r="D271" t="inlineStr">
        <is>
          <t>VÄSTERBOTTENS LÄN</t>
        </is>
      </c>
      <c r="E271" t="inlineStr">
        <is>
          <t>VINDELN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43080-2025</t>
        </is>
      </c>
      <c r="B272" s="1" t="n">
        <v>45909</v>
      </c>
      <c r="C272" s="1" t="n">
        <v>46197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40144-2024</t>
        </is>
      </c>
      <c r="B273" s="1" t="n">
        <v>45554</v>
      </c>
      <c r="C273" s="1" t="n">
        <v>46197</v>
      </c>
      <c r="D273" t="inlineStr">
        <is>
          <t>VÄSTERBOTTENS LÄN</t>
        </is>
      </c>
      <c r="E273" t="inlineStr">
        <is>
          <t>VINDELN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42941-2025</t>
        </is>
      </c>
      <c r="B274" s="1" t="n">
        <v>45909</v>
      </c>
      <c r="C274" s="1" t="n">
        <v>46197</v>
      </c>
      <c r="D274" t="inlineStr">
        <is>
          <t>VÄSTERBOTTENS LÄN</t>
        </is>
      </c>
      <c r="E274" t="inlineStr">
        <is>
          <t>VINDELN</t>
        </is>
      </c>
      <c r="F274" t="inlineStr">
        <is>
          <t>Holmen skog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32232-2025</t>
        </is>
      </c>
      <c r="B275" s="1" t="n">
        <v>45835</v>
      </c>
      <c r="C275" s="1" t="n">
        <v>46197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Sveaskog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32262-2025</t>
        </is>
      </c>
      <c r="B276" s="1" t="n">
        <v>45835</v>
      </c>
      <c r="C276" s="1" t="n">
        <v>46197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Sveaskog</t>
        </is>
      </c>
      <c r="G276" t="n">
        <v>17.4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32292-2025</t>
        </is>
      </c>
      <c r="B277" s="1" t="n">
        <v>45835</v>
      </c>
      <c r="C277" s="1" t="n">
        <v>46197</v>
      </c>
      <c r="D277" t="inlineStr">
        <is>
          <t>VÄSTERBOTTENS LÄN</t>
        </is>
      </c>
      <c r="E277" t="inlineStr">
        <is>
          <t>VINDELN</t>
        </is>
      </c>
      <c r="F277" t="inlineStr">
        <is>
          <t>Holmen skog AB</t>
        </is>
      </c>
      <c r="G277" t="n">
        <v>14.7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8273-2023</t>
        </is>
      </c>
      <c r="B278" s="1" t="n">
        <v>44971</v>
      </c>
      <c r="C278" s="1" t="n">
        <v>46197</v>
      </c>
      <c r="D278" t="inlineStr">
        <is>
          <t>VÄSTERBOTTENS LÄN</t>
        </is>
      </c>
      <c r="E278" t="inlineStr">
        <is>
          <t>VINDELN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43390-2025</t>
        </is>
      </c>
      <c r="B279" s="1" t="n">
        <v>45911</v>
      </c>
      <c r="C279" s="1" t="n">
        <v>46197</v>
      </c>
      <c r="D279" t="inlineStr">
        <is>
          <t>VÄSTERBOTTENS LÄN</t>
        </is>
      </c>
      <c r="E279" t="inlineStr">
        <is>
          <t>VINDELN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32415-2025</t>
        </is>
      </c>
      <c r="B280" s="1" t="n">
        <v>45838</v>
      </c>
      <c r="C280" s="1" t="n">
        <v>46197</v>
      </c>
      <c r="D280" t="inlineStr">
        <is>
          <t>VÄSTERBOTTENS LÄN</t>
        </is>
      </c>
      <c r="E280" t="inlineStr">
        <is>
          <t>VINDELN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32305-2025</t>
        </is>
      </c>
      <c r="B281" s="1" t="n">
        <v>45835</v>
      </c>
      <c r="C281" s="1" t="n">
        <v>46197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SCA</t>
        </is>
      </c>
      <c r="G281" t="n">
        <v>15.2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43743-2025</t>
        </is>
      </c>
      <c r="B282" s="1" t="n">
        <v>45912</v>
      </c>
      <c r="C282" s="1" t="n">
        <v>46197</v>
      </c>
      <c r="D282" t="inlineStr">
        <is>
          <t>VÄSTERBOTTENS LÄN</t>
        </is>
      </c>
      <c r="E282" t="inlineStr">
        <is>
          <t>VINDELN</t>
        </is>
      </c>
      <c r="F282" t="inlineStr">
        <is>
          <t>Holmen skog AB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43734-2025</t>
        </is>
      </c>
      <c r="B283" s="1" t="n">
        <v>45912</v>
      </c>
      <c r="C283" s="1" t="n">
        <v>46197</v>
      </c>
      <c r="D283" t="inlineStr">
        <is>
          <t>VÄSTERBOTTENS LÄN</t>
        </is>
      </c>
      <c r="E283" t="inlineStr">
        <is>
          <t>VINDELN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43870-2025</t>
        </is>
      </c>
      <c r="B284" s="1" t="n">
        <v>45912</v>
      </c>
      <c r="C284" s="1" t="n">
        <v>46197</v>
      </c>
      <c r="D284" t="inlineStr">
        <is>
          <t>VÄSTERBOTTENS LÄN</t>
        </is>
      </c>
      <c r="E284" t="inlineStr">
        <is>
          <t>VINDELN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43783-2025</t>
        </is>
      </c>
      <c r="B285" s="1" t="n">
        <v>45912</v>
      </c>
      <c r="C285" s="1" t="n">
        <v>46197</v>
      </c>
      <c r="D285" t="inlineStr">
        <is>
          <t>VÄSTERBOTTENS LÄN</t>
        </is>
      </c>
      <c r="E285" t="inlineStr">
        <is>
          <t>VINDELN</t>
        </is>
      </c>
      <c r="F285" t="inlineStr">
        <is>
          <t>Holmen skog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43392-2025</t>
        </is>
      </c>
      <c r="B286" s="1" t="n">
        <v>45911</v>
      </c>
      <c r="C286" s="1" t="n">
        <v>46197</v>
      </c>
      <c r="D286" t="inlineStr">
        <is>
          <t>VÄSTERBOTTENS LÄN</t>
        </is>
      </c>
      <c r="E286" t="inlineStr">
        <is>
          <t>VINDELN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44169-2025</t>
        </is>
      </c>
      <c r="B287" s="1" t="n">
        <v>45915</v>
      </c>
      <c r="C287" s="1" t="n">
        <v>46197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Sveaskog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33657-2025</t>
        </is>
      </c>
      <c r="B288" s="1" t="n">
        <v>45841</v>
      </c>
      <c r="C288" s="1" t="n">
        <v>46197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11.7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13009-2024</t>
        </is>
      </c>
      <c r="B289" s="1" t="n">
        <v>45385</v>
      </c>
      <c r="C289" s="1" t="n">
        <v>46197</v>
      </c>
      <c r="D289" t="inlineStr">
        <is>
          <t>VÄSTERBOTTENS LÄN</t>
        </is>
      </c>
      <c r="E289" t="inlineStr">
        <is>
          <t>VINDELN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49874-2023</t>
        </is>
      </c>
      <c r="B290" s="1" t="n">
        <v>45212</v>
      </c>
      <c r="C290" s="1" t="n">
        <v>46197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44275-2025</t>
        </is>
      </c>
      <c r="B291" s="1" t="n">
        <v>45916</v>
      </c>
      <c r="C291" s="1" t="n">
        <v>46197</v>
      </c>
      <c r="D291" t="inlineStr">
        <is>
          <t>VÄSTERBOTTENS LÄN</t>
        </is>
      </c>
      <c r="E291" t="inlineStr">
        <is>
          <t>VINDELN</t>
        </is>
      </c>
      <c r="G291" t="n">
        <v>8.699999999999999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44047-2025</t>
        </is>
      </c>
      <c r="B292" s="1" t="n">
        <v>45915</v>
      </c>
      <c r="C292" s="1" t="n">
        <v>46197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Sveaskog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44048-2025</t>
        </is>
      </c>
      <c r="B293" s="1" t="n">
        <v>45915</v>
      </c>
      <c r="C293" s="1" t="n">
        <v>46197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33413-2025</t>
        </is>
      </c>
      <c r="B294" s="1" t="n">
        <v>45841</v>
      </c>
      <c r="C294" s="1" t="n">
        <v>46197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44122-2025</t>
        </is>
      </c>
      <c r="B295" s="1" t="n">
        <v>45915</v>
      </c>
      <c r="C295" s="1" t="n">
        <v>46197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Sveaskog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44157-2025</t>
        </is>
      </c>
      <c r="B296" s="1" t="n">
        <v>45915</v>
      </c>
      <c r="C296" s="1" t="n">
        <v>46197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Sveaskog</t>
        </is>
      </c>
      <c r="G296" t="n">
        <v>11.4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44176-2025</t>
        </is>
      </c>
      <c r="B297" s="1" t="n">
        <v>45915</v>
      </c>
      <c r="C297" s="1" t="n">
        <v>46197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Sveaskog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33457-2025</t>
        </is>
      </c>
      <c r="B298" s="1" t="n">
        <v>45841</v>
      </c>
      <c r="C298" s="1" t="n">
        <v>46197</v>
      </c>
      <c r="D298" t="inlineStr">
        <is>
          <t>VÄSTERBOTTENS LÄN</t>
        </is>
      </c>
      <c r="E298" t="inlineStr">
        <is>
          <t>VINDELN</t>
        </is>
      </c>
      <c r="F298" t="inlineStr">
        <is>
          <t>Holmen skog AB</t>
        </is>
      </c>
      <c r="G298" t="n">
        <v>16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33545-2025</t>
        </is>
      </c>
      <c r="B299" s="1" t="n">
        <v>45841</v>
      </c>
      <c r="C299" s="1" t="n">
        <v>46197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44109-2025</t>
        </is>
      </c>
      <c r="B300" s="1" t="n">
        <v>45915</v>
      </c>
      <c r="C300" s="1" t="n">
        <v>46197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44115-2025</t>
        </is>
      </c>
      <c r="B301" s="1" t="n">
        <v>45915</v>
      </c>
      <c r="C301" s="1" t="n">
        <v>46197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44050-2025</t>
        </is>
      </c>
      <c r="B302" s="1" t="n">
        <v>45915</v>
      </c>
      <c r="C302" s="1" t="n">
        <v>46197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44147-2025</t>
        </is>
      </c>
      <c r="B303" s="1" t="n">
        <v>45915</v>
      </c>
      <c r="C303" s="1" t="n">
        <v>46197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44267-2025</t>
        </is>
      </c>
      <c r="B304" s="1" t="n">
        <v>45916</v>
      </c>
      <c r="C304" s="1" t="n">
        <v>46197</v>
      </c>
      <c r="D304" t="inlineStr">
        <is>
          <t>VÄSTERBOTTENS LÄN</t>
        </is>
      </c>
      <c r="E304" t="inlineStr">
        <is>
          <t>VINDELN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46714-2024</t>
        </is>
      </c>
      <c r="B305" s="1" t="n">
        <v>45583</v>
      </c>
      <c r="C305" s="1" t="n">
        <v>46197</v>
      </c>
      <c r="D305" t="inlineStr">
        <is>
          <t>VÄSTERBOTTENS LÄN</t>
        </is>
      </c>
      <c r="E305" t="inlineStr">
        <is>
          <t>VINDELN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61475-2022</t>
        </is>
      </c>
      <c r="B306" s="1" t="n">
        <v>44916</v>
      </c>
      <c r="C306" s="1" t="n">
        <v>46197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33965-2024</t>
        </is>
      </c>
      <c r="B307" s="1" t="n">
        <v>45523</v>
      </c>
      <c r="C307" s="1" t="n">
        <v>46197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8326-2022</t>
        </is>
      </c>
      <c r="B308" s="1" t="n">
        <v>44610</v>
      </c>
      <c r="C308" s="1" t="n">
        <v>46197</v>
      </c>
      <c r="D308" t="inlineStr">
        <is>
          <t>VÄSTERBOTTENS LÄN</t>
        </is>
      </c>
      <c r="E308" t="inlineStr">
        <is>
          <t>VINDELN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44833-2025</t>
        </is>
      </c>
      <c r="B309" s="1" t="n">
        <v>45918</v>
      </c>
      <c r="C309" s="1" t="n">
        <v>46197</v>
      </c>
      <c r="D309" t="inlineStr">
        <is>
          <t>VÄSTERBOTTENS LÄN</t>
        </is>
      </c>
      <c r="E309" t="inlineStr">
        <is>
          <t>VINDELN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45149-2025</t>
        </is>
      </c>
      <c r="B310" s="1" t="n">
        <v>45919</v>
      </c>
      <c r="C310" s="1" t="n">
        <v>46197</v>
      </c>
      <c r="D310" t="inlineStr">
        <is>
          <t>VÄSTERBOTTENS LÄN</t>
        </is>
      </c>
      <c r="E310" t="inlineStr">
        <is>
          <t>VINDELN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34519-2025</t>
        </is>
      </c>
      <c r="B311" s="1" t="n">
        <v>45847</v>
      </c>
      <c r="C311" s="1" t="n">
        <v>46197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SCA</t>
        </is>
      </c>
      <c r="G311" t="n">
        <v>13.6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45144-2025</t>
        </is>
      </c>
      <c r="B312" s="1" t="n">
        <v>45919</v>
      </c>
      <c r="C312" s="1" t="n">
        <v>46197</v>
      </c>
      <c r="D312" t="inlineStr">
        <is>
          <t>VÄSTERBOTTENS LÄN</t>
        </is>
      </c>
      <c r="E312" t="inlineStr">
        <is>
          <t>VINDELN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46206-2025</t>
        </is>
      </c>
      <c r="B313" s="1" t="n">
        <v>45924</v>
      </c>
      <c r="C313" s="1" t="n">
        <v>46197</v>
      </c>
      <c r="D313" t="inlineStr">
        <is>
          <t>VÄSTERBOTTENS LÄN</t>
        </is>
      </c>
      <c r="E313" t="inlineStr">
        <is>
          <t>VINDELN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43611-2024</t>
        </is>
      </c>
      <c r="B314" s="1" t="n">
        <v>45569</v>
      </c>
      <c r="C314" s="1" t="n">
        <v>46197</v>
      </c>
      <c r="D314" t="inlineStr">
        <is>
          <t>VÄSTERBOTTENS LÄN</t>
        </is>
      </c>
      <c r="E314" t="inlineStr">
        <is>
          <t>VINDELN</t>
        </is>
      </c>
      <c r="F314" t="inlineStr">
        <is>
          <t>Holmen skog AB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34736-2024</t>
        </is>
      </c>
      <c r="B315" s="1" t="n">
        <v>45526</v>
      </c>
      <c r="C315" s="1" t="n">
        <v>46197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14.7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46197-2025</t>
        </is>
      </c>
      <c r="B316" s="1" t="n">
        <v>45924</v>
      </c>
      <c r="C316" s="1" t="n">
        <v>46197</v>
      </c>
      <c r="D316" t="inlineStr">
        <is>
          <t>VÄSTERBOTTENS LÄN</t>
        </is>
      </c>
      <c r="E316" t="inlineStr">
        <is>
          <t>VINDELN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12757-2022</t>
        </is>
      </c>
      <c r="B317" s="1" t="n">
        <v>44641</v>
      </c>
      <c r="C317" s="1" t="n">
        <v>46197</v>
      </c>
      <c r="D317" t="inlineStr">
        <is>
          <t>VÄSTERBOTTENS LÄN</t>
        </is>
      </c>
      <c r="E317" t="inlineStr">
        <is>
          <t>VINDELN</t>
        </is>
      </c>
      <c r="G317" t="n">
        <v>18.2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4059-2025</t>
        </is>
      </c>
      <c r="B318" s="1" t="n">
        <v>45684</v>
      </c>
      <c r="C318" s="1" t="n">
        <v>46197</v>
      </c>
      <c r="D318" t="inlineStr">
        <is>
          <t>VÄSTERBOTTENS LÄN</t>
        </is>
      </c>
      <c r="E318" t="inlineStr">
        <is>
          <t>VINDELN</t>
        </is>
      </c>
      <c r="G318" t="n">
        <v>12.6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52916-2023</t>
        </is>
      </c>
      <c r="B319" s="1" t="n">
        <v>45226</v>
      </c>
      <c r="C319" s="1" t="n">
        <v>46197</v>
      </c>
      <c r="D319" t="inlineStr">
        <is>
          <t>VÄSTERBOTTENS LÄN</t>
        </is>
      </c>
      <c r="E319" t="inlineStr">
        <is>
          <t>VINDELN</t>
        </is>
      </c>
      <c r="F319" t="inlineStr">
        <is>
          <t>Holmen skog AB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57579-2024</t>
        </is>
      </c>
      <c r="B320" s="1" t="n">
        <v>45630</v>
      </c>
      <c r="C320" s="1" t="n">
        <v>46197</v>
      </c>
      <c r="D320" t="inlineStr">
        <is>
          <t>VÄSTERBOTTENS LÄN</t>
        </is>
      </c>
      <c r="E320" t="inlineStr">
        <is>
          <t>VINDELN</t>
        </is>
      </c>
      <c r="F320" t="inlineStr">
        <is>
          <t>Sveaskog</t>
        </is>
      </c>
      <c r="G320" t="n">
        <v>14.4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46241-2025</t>
        </is>
      </c>
      <c r="B321" s="1" t="n">
        <v>45925</v>
      </c>
      <c r="C321" s="1" t="n">
        <v>46197</v>
      </c>
      <c r="D321" t="inlineStr">
        <is>
          <t>VÄSTERBOTTENS LÄN</t>
        </is>
      </c>
      <c r="E321" t="inlineStr">
        <is>
          <t>VINDELN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2684-2023</t>
        </is>
      </c>
      <c r="B322" s="1" t="n">
        <v>44944</v>
      </c>
      <c r="C322" s="1" t="n">
        <v>46197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46839-2025</t>
        </is>
      </c>
      <c r="B323" s="1" t="n">
        <v>45928</v>
      </c>
      <c r="C323" s="1" t="n">
        <v>46197</v>
      </c>
      <c r="D323" t="inlineStr">
        <is>
          <t>VÄSTERBOTTENS LÄN</t>
        </is>
      </c>
      <c r="E323" t="inlineStr">
        <is>
          <t>VINDELN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46861-2025</t>
        </is>
      </c>
      <c r="B324" s="1" t="n">
        <v>45929</v>
      </c>
      <c r="C324" s="1" t="n">
        <v>46197</v>
      </c>
      <c r="D324" t="inlineStr">
        <is>
          <t>VÄSTERBOTTENS LÄN</t>
        </is>
      </c>
      <c r="E324" t="inlineStr">
        <is>
          <t>VINDELN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35834-2025</t>
        </is>
      </c>
      <c r="B325" s="1" t="n">
        <v>45861</v>
      </c>
      <c r="C325" s="1" t="n">
        <v>46197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SCA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35842-2025</t>
        </is>
      </c>
      <c r="B326" s="1" t="n">
        <v>45861</v>
      </c>
      <c r="C326" s="1" t="n">
        <v>46197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46840-2025</t>
        </is>
      </c>
      <c r="B327" s="1" t="n">
        <v>45928</v>
      </c>
      <c r="C327" s="1" t="n">
        <v>46197</v>
      </c>
      <c r="D327" t="inlineStr">
        <is>
          <t>VÄSTERBOTTENS LÄN</t>
        </is>
      </c>
      <c r="E327" t="inlineStr">
        <is>
          <t>VINDELN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60810-2023</t>
        </is>
      </c>
      <c r="B328" s="1" t="n">
        <v>45260</v>
      </c>
      <c r="C328" s="1" t="n">
        <v>46197</v>
      </c>
      <c r="D328" t="inlineStr">
        <is>
          <t>VÄSTERBOTTENS LÄN</t>
        </is>
      </c>
      <c r="E328" t="inlineStr">
        <is>
          <t>VINDELN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36314-2025</t>
        </is>
      </c>
      <c r="B329" s="1" t="n">
        <v>45868</v>
      </c>
      <c r="C329" s="1" t="n">
        <v>46197</v>
      </c>
      <c r="D329" t="inlineStr">
        <is>
          <t>VÄSTERBOTTENS LÄN</t>
        </is>
      </c>
      <c r="E329" t="inlineStr">
        <is>
          <t>VINDELN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36262-2025</t>
        </is>
      </c>
      <c r="B330" s="1" t="n">
        <v>45867</v>
      </c>
      <c r="C330" s="1" t="n">
        <v>46197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36151-2025</t>
        </is>
      </c>
      <c r="B331" s="1" t="n">
        <v>45867</v>
      </c>
      <c r="C331" s="1" t="n">
        <v>46197</v>
      </c>
      <c r="D331" t="inlineStr">
        <is>
          <t>VÄSTERBOTTENS LÄN</t>
        </is>
      </c>
      <c r="E331" t="inlineStr">
        <is>
          <t>VINDELN</t>
        </is>
      </c>
      <c r="F331" t="inlineStr">
        <is>
          <t>Holmen skog AB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12127-2023</t>
        </is>
      </c>
      <c r="B332" s="1" t="n">
        <v>44995</v>
      </c>
      <c r="C332" s="1" t="n">
        <v>46197</v>
      </c>
      <c r="D332" t="inlineStr">
        <is>
          <t>VÄSTERBOTTENS LÄN</t>
        </is>
      </c>
      <c r="E332" t="inlineStr">
        <is>
          <t>VINDELN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5061-2026</t>
        </is>
      </c>
      <c r="B333" s="1" t="n">
        <v>46049</v>
      </c>
      <c r="C333" s="1" t="n">
        <v>46197</v>
      </c>
      <c r="D333" t="inlineStr">
        <is>
          <t>VÄSTERBOTTENS LÄN</t>
        </is>
      </c>
      <c r="E333" t="inlineStr">
        <is>
          <t>VINDELN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48659-2025</t>
        </is>
      </c>
      <c r="B334" s="1" t="n">
        <v>45936</v>
      </c>
      <c r="C334" s="1" t="n">
        <v>46197</v>
      </c>
      <c r="D334" t="inlineStr">
        <is>
          <t>VÄSTERBOTTENS LÄN</t>
        </is>
      </c>
      <c r="E334" t="inlineStr">
        <is>
          <t>VINDELN</t>
        </is>
      </c>
      <c r="F334" t="inlineStr">
        <is>
          <t>Sveaskog</t>
        </is>
      </c>
      <c r="G334" t="n">
        <v>31.9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36969-2025</t>
        </is>
      </c>
      <c r="B335" s="1" t="n">
        <v>45874</v>
      </c>
      <c r="C335" s="1" t="n">
        <v>46197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SCA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49227-2025</t>
        </is>
      </c>
      <c r="B336" s="1" t="n">
        <v>45938</v>
      </c>
      <c r="C336" s="1" t="n">
        <v>46197</v>
      </c>
      <c r="D336" t="inlineStr">
        <is>
          <t>VÄSTERBOTTENS LÄN</t>
        </is>
      </c>
      <c r="E336" t="inlineStr">
        <is>
          <t>VINDELN</t>
        </is>
      </c>
      <c r="F336" t="inlineStr">
        <is>
          <t>Sveaskog</t>
        </is>
      </c>
      <c r="G336" t="n">
        <v>25.3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15408-2023</t>
        </is>
      </c>
      <c r="B337" s="1" t="n">
        <v>45019</v>
      </c>
      <c r="C337" s="1" t="n">
        <v>46197</v>
      </c>
      <c r="D337" t="inlineStr">
        <is>
          <t>VÄSTERBOTTENS LÄN</t>
        </is>
      </c>
      <c r="E337" t="inlineStr">
        <is>
          <t>VINDELN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37134-2025</t>
        </is>
      </c>
      <c r="B338" s="1" t="n">
        <v>45875</v>
      </c>
      <c r="C338" s="1" t="n">
        <v>46197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Sveaskog</t>
        </is>
      </c>
      <c r="G338" t="n">
        <v>10.7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60672-2022</t>
        </is>
      </c>
      <c r="B339" s="1" t="n">
        <v>44911</v>
      </c>
      <c r="C339" s="1" t="n">
        <v>46197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SCA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37174-2025</t>
        </is>
      </c>
      <c r="B340" s="1" t="n">
        <v>45875</v>
      </c>
      <c r="C340" s="1" t="n">
        <v>46197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SCA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37175-2025</t>
        </is>
      </c>
      <c r="B341" s="1" t="n">
        <v>45875</v>
      </c>
      <c r="C341" s="1" t="n">
        <v>46197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SCA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37176-2025</t>
        </is>
      </c>
      <c r="B342" s="1" t="n">
        <v>45875</v>
      </c>
      <c r="C342" s="1" t="n">
        <v>46197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SCA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49725-2025</t>
        </is>
      </c>
      <c r="B343" s="1" t="n">
        <v>45939</v>
      </c>
      <c r="C343" s="1" t="n">
        <v>46197</v>
      </c>
      <c r="D343" t="inlineStr">
        <is>
          <t>VÄSTERBOTTENS LÄN</t>
        </is>
      </c>
      <c r="E343" t="inlineStr">
        <is>
          <t>VINDELN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37162-2025</t>
        </is>
      </c>
      <c r="B344" s="1" t="n">
        <v>45875</v>
      </c>
      <c r="C344" s="1" t="n">
        <v>46197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Sveaskog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495-2024</t>
        </is>
      </c>
      <c r="B345" s="1" t="n">
        <v>45299</v>
      </c>
      <c r="C345" s="1" t="n">
        <v>46197</v>
      </c>
      <c r="D345" t="inlineStr">
        <is>
          <t>VÄSTERBOTTENS LÄN</t>
        </is>
      </c>
      <c r="E345" t="inlineStr">
        <is>
          <t>VINDELN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62583-2022</t>
        </is>
      </c>
      <c r="B346" s="1" t="n">
        <v>44924</v>
      </c>
      <c r="C346" s="1" t="n">
        <v>46197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SCA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37697-2025</t>
        </is>
      </c>
      <c r="B347" s="1" t="n">
        <v>45880</v>
      </c>
      <c r="C347" s="1" t="n">
        <v>46197</v>
      </c>
      <c r="D347" t="inlineStr">
        <is>
          <t>VÄSTERBOTTENS LÄN</t>
        </is>
      </c>
      <c r="E347" t="inlineStr">
        <is>
          <t>VINDELN</t>
        </is>
      </c>
      <c r="G347" t="n">
        <v>17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51184-2023</t>
        </is>
      </c>
      <c r="B348" s="1" t="n">
        <v>45219</v>
      </c>
      <c r="C348" s="1" t="n">
        <v>46197</v>
      </c>
      <c r="D348" t="inlineStr">
        <is>
          <t>VÄSTERBOTTENS LÄN</t>
        </is>
      </c>
      <c r="E348" t="inlineStr">
        <is>
          <t>VINDELN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50174-2025</t>
        </is>
      </c>
      <c r="B349" s="1" t="n">
        <v>45943</v>
      </c>
      <c r="C349" s="1" t="n">
        <v>46197</v>
      </c>
      <c r="D349" t="inlineStr">
        <is>
          <t>VÄSTERBOTTENS LÄN</t>
        </is>
      </c>
      <c r="E349" t="inlineStr">
        <is>
          <t>VINDELN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60390-2024</t>
        </is>
      </c>
      <c r="B350" s="1" t="n">
        <v>45643</v>
      </c>
      <c r="C350" s="1" t="n">
        <v>46197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50412-2025</t>
        </is>
      </c>
      <c r="B351" s="1" t="n">
        <v>45944</v>
      </c>
      <c r="C351" s="1" t="n">
        <v>46197</v>
      </c>
      <c r="D351" t="inlineStr">
        <is>
          <t>VÄSTERBOTTENS LÄN</t>
        </is>
      </c>
      <c r="E351" t="inlineStr">
        <is>
          <t>VINDELN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38154-2025</t>
        </is>
      </c>
      <c r="B352" s="1" t="n">
        <v>45882</v>
      </c>
      <c r="C352" s="1" t="n">
        <v>46197</v>
      </c>
      <c r="D352" t="inlineStr">
        <is>
          <t>VÄSTERBOTTENS LÄN</t>
        </is>
      </c>
      <c r="E352" t="inlineStr">
        <is>
          <t>VINDELN</t>
        </is>
      </c>
      <c r="F352" t="inlineStr">
        <is>
          <t>Naturvårdsverket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38166-2025</t>
        </is>
      </c>
      <c r="B353" s="1" t="n">
        <v>45882</v>
      </c>
      <c r="C353" s="1" t="n">
        <v>46197</v>
      </c>
      <c r="D353" t="inlineStr">
        <is>
          <t>VÄSTERBOTTENS LÄN</t>
        </is>
      </c>
      <c r="E353" t="inlineStr">
        <is>
          <t>VINDELN</t>
        </is>
      </c>
      <c r="F353" t="inlineStr">
        <is>
          <t>Naturvårdsverket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50306-2025</t>
        </is>
      </c>
      <c r="B354" s="1" t="n">
        <v>45944</v>
      </c>
      <c r="C354" s="1" t="n">
        <v>46197</v>
      </c>
      <c r="D354" t="inlineStr">
        <is>
          <t>VÄSTERBOTTENS LÄN</t>
        </is>
      </c>
      <c r="E354" t="inlineStr">
        <is>
          <t>VINDELN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38117-2025</t>
        </is>
      </c>
      <c r="B355" s="1" t="n">
        <v>45882</v>
      </c>
      <c r="C355" s="1" t="n">
        <v>46197</v>
      </c>
      <c r="D355" t="inlineStr">
        <is>
          <t>VÄSTERBOTTENS LÄN</t>
        </is>
      </c>
      <c r="E355" t="inlineStr">
        <is>
          <t>VINDELN</t>
        </is>
      </c>
      <c r="F355" t="inlineStr">
        <is>
          <t>Naturvårdsverket</t>
        </is>
      </c>
      <c r="G355" t="n">
        <v>9.699999999999999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50317-2025</t>
        </is>
      </c>
      <c r="B356" s="1" t="n">
        <v>45944</v>
      </c>
      <c r="C356" s="1" t="n">
        <v>46197</v>
      </c>
      <c r="D356" t="inlineStr">
        <is>
          <t>VÄSTERBOTTENS LÄN</t>
        </is>
      </c>
      <c r="E356" t="inlineStr">
        <is>
          <t>VINDELN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50661-2025</t>
        </is>
      </c>
      <c r="B357" s="1" t="n">
        <v>45945</v>
      </c>
      <c r="C357" s="1" t="n">
        <v>46197</v>
      </c>
      <c r="D357" t="inlineStr">
        <is>
          <t>VÄSTERBOTTENS LÄN</t>
        </is>
      </c>
      <c r="E357" t="inlineStr">
        <is>
          <t>VINDELN</t>
        </is>
      </c>
      <c r="G357" t="n">
        <v>8.300000000000001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50840-2025</t>
        </is>
      </c>
      <c r="B358" s="1" t="n">
        <v>45946</v>
      </c>
      <c r="C358" s="1" t="n">
        <v>46197</v>
      </c>
      <c r="D358" t="inlineStr">
        <is>
          <t>VÄSTERBOTTENS LÄN</t>
        </is>
      </c>
      <c r="E358" t="inlineStr">
        <is>
          <t>VINDELN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62700-2022</t>
        </is>
      </c>
      <c r="B359" s="1" t="n">
        <v>44925</v>
      </c>
      <c r="C359" s="1" t="n">
        <v>46197</v>
      </c>
      <c r="D359" t="inlineStr">
        <is>
          <t>VÄSTERBOTTENS LÄN</t>
        </is>
      </c>
      <c r="E359" t="inlineStr">
        <is>
          <t>VINDELN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50559-2025</t>
        </is>
      </c>
      <c r="B360" s="1" t="n">
        <v>45945</v>
      </c>
      <c r="C360" s="1" t="n">
        <v>46197</v>
      </c>
      <c r="D360" t="inlineStr">
        <is>
          <t>VÄSTERBOTTENS LÄN</t>
        </is>
      </c>
      <c r="E360" t="inlineStr">
        <is>
          <t>VINDELN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50560-2025</t>
        </is>
      </c>
      <c r="B361" s="1" t="n">
        <v>45945</v>
      </c>
      <c r="C361" s="1" t="n">
        <v>46197</v>
      </c>
      <c r="D361" t="inlineStr">
        <is>
          <t>VÄSTERBOTTENS LÄN</t>
        </is>
      </c>
      <c r="E361" t="inlineStr">
        <is>
          <t>VINDELN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33657-2024</t>
        </is>
      </c>
      <c r="B362" s="1" t="n">
        <v>45520</v>
      </c>
      <c r="C362" s="1" t="n">
        <v>46197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8270-2023</t>
        </is>
      </c>
      <c r="B363" s="1" t="n">
        <v>44971</v>
      </c>
      <c r="C363" s="1" t="n">
        <v>46197</v>
      </c>
      <c r="D363" t="inlineStr">
        <is>
          <t>VÄSTERBOTTENS LÄN</t>
        </is>
      </c>
      <c r="E363" t="inlineStr">
        <is>
          <t>VINDELN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15577-2023</t>
        </is>
      </c>
      <c r="B364" s="1" t="n">
        <v>45019</v>
      </c>
      <c r="C364" s="1" t="n">
        <v>46197</v>
      </c>
      <c r="D364" t="inlineStr">
        <is>
          <t>VÄSTERBOTTENS LÄN</t>
        </is>
      </c>
      <c r="E364" t="inlineStr">
        <is>
          <t>VINDELN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50705-2025</t>
        </is>
      </c>
      <c r="B365" s="1" t="n">
        <v>45946</v>
      </c>
      <c r="C365" s="1" t="n">
        <v>46197</v>
      </c>
      <c r="D365" t="inlineStr">
        <is>
          <t>VÄSTERBOTTENS LÄN</t>
        </is>
      </c>
      <c r="E365" t="inlineStr">
        <is>
          <t>VINDELN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51089-2025</t>
        </is>
      </c>
      <c r="B366" s="1" t="n">
        <v>45947</v>
      </c>
      <c r="C366" s="1" t="n">
        <v>46197</v>
      </c>
      <c r="D366" t="inlineStr">
        <is>
          <t>VÄSTERBOTTENS LÄN</t>
        </is>
      </c>
      <c r="E366" t="inlineStr">
        <is>
          <t>VINDELN</t>
        </is>
      </c>
      <c r="F366" t="inlineStr">
        <is>
          <t>Holmen skog AB</t>
        </is>
      </c>
      <c r="G366" t="n">
        <v>13.3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51291-2025</t>
        </is>
      </c>
      <c r="B367" s="1" t="n">
        <v>45950</v>
      </c>
      <c r="C367" s="1" t="n">
        <v>46197</v>
      </c>
      <c r="D367" t="inlineStr">
        <is>
          <t>VÄSTERBOTTENS LÄN</t>
        </is>
      </c>
      <c r="E367" t="inlineStr">
        <is>
          <t>VINDELN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52079-2025</t>
        </is>
      </c>
      <c r="B368" s="1" t="n">
        <v>45952</v>
      </c>
      <c r="C368" s="1" t="n">
        <v>46197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38968-2023</t>
        </is>
      </c>
      <c r="B369" s="1" t="n">
        <v>45163</v>
      </c>
      <c r="C369" s="1" t="n">
        <v>46197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51872-2025</t>
        </is>
      </c>
      <c r="B370" s="1" t="n">
        <v>45952</v>
      </c>
      <c r="C370" s="1" t="n">
        <v>46197</v>
      </c>
      <c r="D370" t="inlineStr">
        <is>
          <t>VÄSTERBOTTENS LÄN</t>
        </is>
      </c>
      <c r="E370" t="inlineStr">
        <is>
          <t>VINDELN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13730-2025</t>
        </is>
      </c>
      <c r="B371" s="1" t="n">
        <v>45737</v>
      </c>
      <c r="C371" s="1" t="n">
        <v>46197</v>
      </c>
      <c r="D371" t="inlineStr">
        <is>
          <t>VÄSTERBOTTENS LÄN</t>
        </is>
      </c>
      <c r="E371" t="inlineStr">
        <is>
          <t>VINDELN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50707-2025</t>
        </is>
      </c>
      <c r="B372" s="1" t="n">
        <v>45946</v>
      </c>
      <c r="C372" s="1" t="n">
        <v>46197</v>
      </c>
      <c r="D372" t="inlineStr">
        <is>
          <t>VÄSTERBOTTENS LÄN</t>
        </is>
      </c>
      <c r="E372" t="inlineStr">
        <is>
          <t>VINDELN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37255-2023</t>
        </is>
      </c>
      <c r="B373" s="1" t="n">
        <v>45155</v>
      </c>
      <c r="C373" s="1" t="n">
        <v>46197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SCA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21835-2023</t>
        </is>
      </c>
      <c r="B374" s="1" t="n">
        <v>45068</v>
      </c>
      <c r="C374" s="1" t="n">
        <v>46197</v>
      </c>
      <c r="D374" t="inlineStr">
        <is>
          <t>VÄSTERBOTTENS LÄN</t>
        </is>
      </c>
      <c r="E374" t="inlineStr">
        <is>
          <t>VINDELN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7398-2026</t>
        </is>
      </c>
      <c r="B375" s="1" t="n">
        <v>46059</v>
      </c>
      <c r="C375" s="1" t="n">
        <v>46197</v>
      </c>
      <c r="D375" t="inlineStr">
        <is>
          <t>VÄSTERBOTTENS LÄN</t>
        </is>
      </c>
      <c r="E375" t="inlineStr">
        <is>
          <t>VINDELN</t>
        </is>
      </c>
      <c r="F375" t="inlineStr">
        <is>
          <t>Holmen skog AB</t>
        </is>
      </c>
      <c r="G375" t="n">
        <v>21.9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26232-2024</t>
        </is>
      </c>
      <c r="B376" s="1" t="n">
        <v>45468</v>
      </c>
      <c r="C376" s="1" t="n">
        <v>46197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16.5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27582-2024</t>
        </is>
      </c>
      <c r="B377" s="1" t="n">
        <v>45474</v>
      </c>
      <c r="C377" s="1" t="n">
        <v>46197</v>
      </c>
      <c r="D377" t="inlineStr">
        <is>
          <t>VÄSTERBOTTENS LÄN</t>
        </is>
      </c>
      <c r="E377" t="inlineStr">
        <is>
          <t>VINDELN</t>
        </is>
      </c>
      <c r="F377" t="inlineStr">
        <is>
          <t>Holmen skog AB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60597-2024</t>
        </is>
      </c>
      <c r="B378" s="1" t="n">
        <v>45644</v>
      </c>
      <c r="C378" s="1" t="n">
        <v>46197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7407-2026</t>
        </is>
      </c>
      <c r="B379" s="1" t="n">
        <v>46059</v>
      </c>
      <c r="C379" s="1" t="n">
        <v>46197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53353-2025</t>
        </is>
      </c>
      <c r="B380" s="1" t="n">
        <v>45959</v>
      </c>
      <c r="C380" s="1" t="n">
        <v>46197</v>
      </c>
      <c r="D380" t="inlineStr">
        <is>
          <t>VÄSTERBOTTENS LÄN</t>
        </is>
      </c>
      <c r="E380" t="inlineStr">
        <is>
          <t>VINDELN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53358-2025</t>
        </is>
      </c>
      <c r="B381" s="1" t="n">
        <v>45959</v>
      </c>
      <c r="C381" s="1" t="n">
        <v>46197</v>
      </c>
      <c r="D381" t="inlineStr">
        <is>
          <t>VÄSTERBOTTENS LÄN</t>
        </is>
      </c>
      <c r="E381" t="inlineStr">
        <is>
          <t>VINDELN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13313-2023</t>
        </is>
      </c>
      <c r="B382" s="1" t="n">
        <v>45005</v>
      </c>
      <c r="C382" s="1" t="n">
        <v>46197</v>
      </c>
      <c r="D382" t="inlineStr">
        <is>
          <t>VÄSTERBOTTENS LÄN</t>
        </is>
      </c>
      <c r="E382" t="inlineStr">
        <is>
          <t>VINDELN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31402-2023</t>
        </is>
      </c>
      <c r="B383" s="1" t="n">
        <v>45114</v>
      </c>
      <c r="C383" s="1" t="n">
        <v>46197</v>
      </c>
      <c r="D383" t="inlineStr">
        <is>
          <t>VÄSTERBOTTENS LÄN</t>
        </is>
      </c>
      <c r="E383" t="inlineStr">
        <is>
          <t>VINDELN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17059-2025</t>
        </is>
      </c>
      <c r="B384" s="1" t="n">
        <v>45755</v>
      </c>
      <c r="C384" s="1" t="n">
        <v>46197</v>
      </c>
      <c r="D384" t="inlineStr">
        <is>
          <t>VÄSTERBOTTENS LÄN</t>
        </is>
      </c>
      <c r="E384" t="inlineStr">
        <is>
          <t>VINDELN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53354-2025</t>
        </is>
      </c>
      <c r="B385" s="1" t="n">
        <v>45959</v>
      </c>
      <c r="C385" s="1" t="n">
        <v>46197</v>
      </c>
      <c r="D385" t="inlineStr">
        <is>
          <t>VÄSTERBOTTENS LÄN</t>
        </is>
      </c>
      <c r="E385" t="inlineStr">
        <is>
          <t>VINDELN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53794-2025</t>
        </is>
      </c>
      <c r="B386" s="1" t="n">
        <v>45960</v>
      </c>
      <c r="C386" s="1" t="n">
        <v>46197</v>
      </c>
      <c r="D386" t="inlineStr">
        <is>
          <t>VÄSTERBOTTENS LÄN</t>
        </is>
      </c>
      <c r="E386" t="inlineStr">
        <is>
          <t>VINDELN</t>
        </is>
      </c>
      <c r="F386" t="inlineStr">
        <is>
          <t>Holmen skog AB</t>
        </is>
      </c>
      <c r="G386" t="n">
        <v>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33132-2023</t>
        </is>
      </c>
      <c r="B387" s="1" t="n">
        <v>45114</v>
      </c>
      <c r="C387" s="1" t="n">
        <v>46197</v>
      </c>
      <c r="D387" t="inlineStr">
        <is>
          <t>VÄSTERBOTTENS LÄN</t>
        </is>
      </c>
      <c r="E387" t="inlineStr">
        <is>
          <t>VINDELN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53861-2025</t>
        </is>
      </c>
      <c r="B388" s="1" t="n">
        <v>45961</v>
      </c>
      <c r="C388" s="1" t="n">
        <v>46197</v>
      </c>
      <c r="D388" t="inlineStr">
        <is>
          <t>VÄSTERBOTTENS LÄN</t>
        </is>
      </c>
      <c r="E388" t="inlineStr">
        <is>
          <t>VINDELN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53919-2025</t>
        </is>
      </c>
      <c r="B389" s="1" t="n">
        <v>45961</v>
      </c>
      <c r="C389" s="1" t="n">
        <v>46197</v>
      </c>
      <c r="D389" t="inlineStr">
        <is>
          <t>VÄSTERBOTTENS LÄN</t>
        </is>
      </c>
      <c r="E389" t="inlineStr">
        <is>
          <t>VINDELN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53921-2025</t>
        </is>
      </c>
      <c r="B390" s="1" t="n">
        <v>45961</v>
      </c>
      <c r="C390" s="1" t="n">
        <v>46197</v>
      </c>
      <c r="D390" t="inlineStr">
        <is>
          <t>VÄSTERBOTTENS LÄN</t>
        </is>
      </c>
      <c r="E390" t="inlineStr">
        <is>
          <t>VINDELN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32969-2021</t>
        </is>
      </c>
      <c r="B391" s="1" t="n">
        <v>44376</v>
      </c>
      <c r="C391" s="1" t="n">
        <v>46197</v>
      </c>
      <c r="D391" t="inlineStr">
        <is>
          <t>VÄSTERBOTTENS LÄN</t>
        </is>
      </c>
      <c r="E391" t="inlineStr">
        <is>
          <t>VINDELN</t>
        </is>
      </c>
      <c r="G391" t="n">
        <v>14.4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54164-2025</t>
        </is>
      </c>
      <c r="B392" s="1" t="n">
        <v>45964</v>
      </c>
      <c r="C392" s="1" t="n">
        <v>46197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SCA</t>
        </is>
      </c>
      <c r="G392" t="n">
        <v>12.8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53882-2025</t>
        </is>
      </c>
      <c r="B393" s="1" t="n">
        <v>45961</v>
      </c>
      <c r="C393" s="1" t="n">
        <v>46197</v>
      </c>
      <c r="D393" t="inlineStr">
        <is>
          <t>VÄSTERBOTTENS LÄN</t>
        </is>
      </c>
      <c r="E393" t="inlineStr">
        <is>
          <t>VINDELN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28739-2023</t>
        </is>
      </c>
      <c r="B394" s="1" t="n">
        <v>45103</v>
      </c>
      <c r="C394" s="1" t="n">
        <v>46197</v>
      </c>
      <c r="D394" t="inlineStr">
        <is>
          <t>VÄSTERBOTTENS LÄN</t>
        </is>
      </c>
      <c r="E394" t="inlineStr">
        <is>
          <t>VINDELN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28781-2023</t>
        </is>
      </c>
      <c r="B395" s="1" t="n">
        <v>45104</v>
      </c>
      <c r="C395" s="1" t="n">
        <v>46197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53924-2025</t>
        </is>
      </c>
      <c r="B396" s="1" t="n">
        <v>45961</v>
      </c>
      <c r="C396" s="1" t="n">
        <v>46197</v>
      </c>
      <c r="D396" t="inlineStr">
        <is>
          <t>VÄSTERBOTTENS LÄN</t>
        </is>
      </c>
      <c r="E396" t="inlineStr">
        <is>
          <t>VINDELN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53816-2025</t>
        </is>
      </c>
      <c r="B397" s="1" t="n">
        <v>45961</v>
      </c>
      <c r="C397" s="1" t="n">
        <v>46197</v>
      </c>
      <c r="D397" t="inlineStr">
        <is>
          <t>VÄSTERBOTTENS LÄN</t>
        </is>
      </c>
      <c r="E397" t="inlineStr">
        <is>
          <t>VINDELN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54061-2025</t>
        </is>
      </c>
      <c r="B398" s="1" t="n">
        <v>45964</v>
      </c>
      <c r="C398" s="1" t="n">
        <v>46197</v>
      </c>
      <c r="D398" t="inlineStr">
        <is>
          <t>VÄSTERBOTTENS LÄN</t>
        </is>
      </c>
      <c r="E398" t="inlineStr">
        <is>
          <t>VINDELN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53815-2025</t>
        </is>
      </c>
      <c r="B399" s="1" t="n">
        <v>45961</v>
      </c>
      <c r="C399" s="1" t="n">
        <v>46197</v>
      </c>
      <c r="D399" t="inlineStr">
        <is>
          <t>VÄSTERBOTTENS LÄN</t>
        </is>
      </c>
      <c r="E399" t="inlineStr">
        <is>
          <t>VINDELN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53890-2025</t>
        </is>
      </c>
      <c r="B400" s="1" t="n">
        <v>45961</v>
      </c>
      <c r="C400" s="1" t="n">
        <v>46197</v>
      </c>
      <c r="D400" t="inlineStr">
        <is>
          <t>VÄSTERBOTTENS LÄN</t>
        </is>
      </c>
      <c r="E400" t="inlineStr">
        <is>
          <t>VINDELN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53831-2025</t>
        </is>
      </c>
      <c r="B401" s="1" t="n">
        <v>45961</v>
      </c>
      <c r="C401" s="1" t="n">
        <v>46197</v>
      </c>
      <c r="D401" t="inlineStr">
        <is>
          <t>VÄSTERBOTTENS LÄN</t>
        </is>
      </c>
      <c r="E401" t="inlineStr">
        <is>
          <t>VINDELN</t>
        </is>
      </c>
      <c r="G401" t="n">
        <v>14.8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8466-2026</t>
        </is>
      </c>
      <c r="B402" s="1" t="n">
        <v>46065</v>
      </c>
      <c r="C402" s="1" t="n">
        <v>46197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425-2022</t>
        </is>
      </c>
      <c r="B403" s="1" t="n">
        <v>44565</v>
      </c>
      <c r="C403" s="1" t="n">
        <v>46197</v>
      </c>
      <c r="D403" t="inlineStr">
        <is>
          <t>VÄSTERBOTTENS LÄN</t>
        </is>
      </c>
      <c r="E403" t="inlineStr">
        <is>
          <t>VINDELN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8805-2026</t>
        </is>
      </c>
      <c r="B404" s="1" t="n">
        <v>46066</v>
      </c>
      <c r="C404" s="1" t="n">
        <v>46197</v>
      </c>
      <c r="D404" t="inlineStr">
        <is>
          <t>VÄSTERBOTTENS LÄN</t>
        </is>
      </c>
      <c r="E404" t="inlineStr">
        <is>
          <t>VINDELN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9294-2026</t>
        </is>
      </c>
      <c r="B405" s="1" t="n">
        <v>46070</v>
      </c>
      <c r="C405" s="1" t="n">
        <v>46197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SCA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55589-2025</t>
        </is>
      </c>
      <c r="B406" s="1" t="n">
        <v>45971</v>
      </c>
      <c r="C406" s="1" t="n">
        <v>46197</v>
      </c>
      <c r="D406" t="inlineStr">
        <is>
          <t>VÄSTERBOTTENS LÄN</t>
        </is>
      </c>
      <c r="E406" t="inlineStr">
        <is>
          <t>VINDELN</t>
        </is>
      </c>
      <c r="G406" t="n">
        <v>12.2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9817-2026</t>
        </is>
      </c>
      <c r="B407" s="1" t="n">
        <v>46072</v>
      </c>
      <c r="C407" s="1" t="n">
        <v>46197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SCA</t>
        </is>
      </c>
      <c r="G407" t="n">
        <v>14.8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10057-2026</t>
        </is>
      </c>
      <c r="B408" s="1" t="n">
        <v>46073</v>
      </c>
      <c r="C408" s="1" t="n">
        <v>46197</v>
      </c>
      <c r="D408" t="inlineStr">
        <is>
          <t>VÄSTERBOTTENS LÄN</t>
        </is>
      </c>
      <c r="E408" t="inlineStr">
        <is>
          <t>VINDELN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55876-2025</t>
        </is>
      </c>
      <c r="B409" s="1" t="n">
        <v>45973</v>
      </c>
      <c r="C409" s="1" t="n">
        <v>46197</v>
      </c>
      <c r="D409" t="inlineStr">
        <is>
          <t>VÄSTERBOTTENS LÄN</t>
        </is>
      </c>
      <c r="E409" t="inlineStr">
        <is>
          <t>VINDELN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10598-2026</t>
        </is>
      </c>
      <c r="B410" s="1" t="n">
        <v>46077</v>
      </c>
      <c r="C410" s="1" t="n">
        <v>46197</v>
      </c>
      <c r="D410" t="inlineStr">
        <is>
          <t>VÄSTERBOTTENS LÄN</t>
        </is>
      </c>
      <c r="E410" t="inlineStr">
        <is>
          <t>VINDELN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10027-2026</t>
        </is>
      </c>
      <c r="B411" s="1" t="n">
        <v>46073</v>
      </c>
      <c r="C411" s="1" t="n">
        <v>46197</v>
      </c>
      <c r="D411" t="inlineStr">
        <is>
          <t>VÄSTERBOTTENS LÄN</t>
        </is>
      </c>
      <c r="E411" t="inlineStr">
        <is>
          <t>VINDELN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10194-2026</t>
        </is>
      </c>
      <c r="B412" s="1" t="n">
        <v>46076</v>
      </c>
      <c r="C412" s="1" t="n">
        <v>46197</v>
      </c>
      <c r="D412" t="inlineStr">
        <is>
          <t>VÄSTERBOTTENS LÄN</t>
        </is>
      </c>
      <c r="E412" t="inlineStr">
        <is>
          <t>VINDELN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55936-2025</t>
        </is>
      </c>
      <c r="B413" s="1" t="n">
        <v>45973</v>
      </c>
      <c r="C413" s="1" t="n">
        <v>46197</v>
      </c>
      <c r="D413" t="inlineStr">
        <is>
          <t>VÄSTERBOTTENS LÄN</t>
        </is>
      </c>
      <c r="E413" t="inlineStr">
        <is>
          <t>VINDELN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10032-2026</t>
        </is>
      </c>
      <c r="B414" s="1" t="n">
        <v>46073</v>
      </c>
      <c r="C414" s="1" t="n">
        <v>46197</v>
      </c>
      <c r="D414" t="inlineStr">
        <is>
          <t>VÄSTERBOTTENS LÄN</t>
        </is>
      </c>
      <c r="E414" t="inlineStr">
        <is>
          <t>VINDELN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9249-2025</t>
        </is>
      </c>
      <c r="B415" s="1" t="n">
        <v>45714</v>
      </c>
      <c r="C415" s="1" t="n">
        <v>46197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10578-2026</t>
        </is>
      </c>
      <c r="B416" s="1" t="n">
        <v>46077</v>
      </c>
      <c r="C416" s="1" t="n">
        <v>46197</v>
      </c>
      <c r="D416" t="inlineStr">
        <is>
          <t>VÄSTERBOTTENS LÄN</t>
        </is>
      </c>
      <c r="E416" t="inlineStr">
        <is>
          <t>VINDELN</t>
        </is>
      </c>
      <c r="G416" t="n">
        <v>9.300000000000001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10968-2026</t>
        </is>
      </c>
      <c r="B417" s="1" t="n">
        <v>46079</v>
      </c>
      <c r="C417" s="1" t="n">
        <v>46197</v>
      </c>
      <c r="D417" t="inlineStr">
        <is>
          <t>VÄSTERBOTTENS LÄN</t>
        </is>
      </c>
      <c r="E417" t="inlineStr">
        <is>
          <t>VINDELN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56856-2025</t>
        </is>
      </c>
      <c r="B418" s="1" t="n">
        <v>45978</v>
      </c>
      <c r="C418" s="1" t="n">
        <v>46197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56840-2025</t>
        </is>
      </c>
      <c r="B419" s="1" t="n">
        <v>45978</v>
      </c>
      <c r="C419" s="1" t="n">
        <v>46197</v>
      </c>
      <c r="D419" t="inlineStr">
        <is>
          <t>VÄSTERBOTTENS LÄN</t>
        </is>
      </c>
      <c r="E419" t="inlineStr">
        <is>
          <t>VINDELN</t>
        </is>
      </c>
      <c r="F419" t="inlineStr">
        <is>
          <t>Holmen skog AB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61591-2024</t>
        </is>
      </c>
      <c r="B420" s="1" t="n">
        <v>45646</v>
      </c>
      <c r="C420" s="1" t="n">
        <v>46197</v>
      </c>
      <c r="D420" t="inlineStr">
        <is>
          <t>VÄSTERBOTTENS LÄN</t>
        </is>
      </c>
      <c r="E420" t="inlineStr">
        <is>
          <t>VINDELN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10862-2026</t>
        </is>
      </c>
      <c r="B421" s="1" t="n">
        <v>46078</v>
      </c>
      <c r="C421" s="1" t="n">
        <v>46197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35.8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4162-2025</t>
        </is>
      </c>
      <c r="B422" s="1" t="n">
        <v>45685</v>
      </c>
      <c r="C422" s="1" t="n">
        <v>46197</v>
      </c>
      <c r="D422" t="inlineStr">
        <is>
          <t>VÄSTERBOTTENS LÄN</t>
        </is>
      </c>
      <c r="E422" t="inlineStr">
        <is>
          <t>VINDELN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57121-2025</t>
        </is>
      </c>
      <c r="B423" s="1" t="n">
        <v>45979</v>
      </c>
      <c r="C423" s="1" t="n">
        <v>46197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Sveaskog</t>
        </is>
      </c>
      <c r="G423" t="n">
        <v>13.1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57394-2025</t>
        </is>
      </c>
      <c r="B424" s="1" t="n">
        <v>45980</v>
      </c>
      <c r="C424" s="1" t="n">
        <v>46197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Sveaskog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57063-2025</t>
        </is>
      </c>
      <c r="B425" s="1" t="n">
        <v>45979</v>
      </c>
      <c r="C425" s="1" t="n">
        <v>46197</v>
      </c>
      <c r="D425" t="inlineStr">
        <is>
          <t>VÄSTERBOTTENS LÄN</t>
        </is>
      </c>
      <c r="E425" t="inlineStr">
        <is>
          <t>VINDELN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57113-2025</t>
        </is>
      </c>
      <c r="B426" s="1" t="n">
        <v>45979</v>
      </c>
      <c r="C426" s="1" t="n">
        <v>46197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35301-2024</t>
        </is>
      </c>
      <c r="B427" s="1" t="n">
        <v>45530</v>
      </c>
      <c r="C427" s="1" t="n">
        <v>46197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57326-2025</t>
        </is>
      </c>
      <c r="B428" s="1" t="n">
        <v>45980</v>
      </c>
      <c r="C428" s="1" t="n">
        <v>46197</v>
      </c>
      <c r="D428" t="inlineStr">
        <is>
          <t>VÄSTERBOTTENS LÄN</t>
        </is>
      </c>
      <c r="E428" t="inlineStr">
        <is>
          <t>VINDELN</t>
        </is>
      </c>
      <c r="F428" t="inlineStr">
        <is>
          <t>Holmen skog AB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57404-2025</t>
        </is>
      </c>
      <c r="B429" s="1" t="n">
        <v>45980</v>
      </c>
      <c r="C429" s="1" t="n">
        <v>46197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Sveaskog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57193-2025</t>
        </is>
      </c>
      <c r="B430" s="1" t="n">
        <v>45979</v>
      </c>
      <c r="C430" s="1" t="n">
        <v>46197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11.3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57419-2025</t>
        </is>
      </c>
      <c r="B431" s="1" t="n">
        <v>45980</v>
      </c>
      <c r="C431" s="1" t="n">
        <v>46197</v>
      </c>
      <c r="D431" t="inlineStr">
        <is>
          <t>VÄSTERBOTTENS LÄN</t>
        </is>
      </c>
      <c r="E431" t="inlineStr">
        <is>
          <t>VINDELN</t>
        </is>
      </c>
      <c r="F431" t="inlineStr">
        <is>
          <t>Sveaskog</t>
        </is>
      </c>
      <c r="G431" t="n">
        <v>9.5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58067-2025</t>
        </is>
      </c>
      <c r="B432" s="1" t="n">
        <v>45982</v>
      </c>
      <c r="C432" s="1" t="n">
        <v>46197</v>
      </c>
      <c r="D432" t="inlineStr">
        <is>
          <t>VÄSTERBOTTENS LÄN</t>
        </is>
      </c>
      <c r="E432" t="inlineStr">
        <is>
          <t>VINDELN</t>
        </is>
      </c>
      <c r="F432" t="inlineStr">
        <is>
          <t>Sveaskog</t>
        </is>
      </c>
      <c r="G432" t="n">
        <v>10.9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11509-2026</t>
        </is>
      </c>
      <c r="B433" s="1" t="n">
        <v>46083</v>
      </c>
      <c r="C433" s="1" t="n">
        <v>46197</v>
      </c>
      <c r="D433" t="inlineStr">
        <is>
          <t>VÄSTERBOTTENS LÄN</t>
        </is>
      </c>
      <c r="E433" t="inlineStr">
        <is>
          <t>VINDELN</t>
        </is>
      </c>
      <c r="F433" t="inlineStr">
        <is>
          <t>SCA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748-2025</t>
        </is>
      </c>
      <c r="B434" s="1" t="n">
        <v>45665</v>
      </c>
      <c r="C434" s="1" t="n">
        <v>46197</v>
      </c>
      <c r="D434" t="inlineStr">
        <is>
          <t>VÄSTERBOTTENS LÄN</t>
        </is>
      </c>
      <c r="E434" t="inlineStr">
        <is>
          <t>VINDELN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62126-2024</t>
        </is>
      </c>
      <c r="B435" s="1" t="n">
        <v>45646</v>
      </c>
      <c r="C435" s="1" t="n">
        <v>46197</v>
      </c>
      <c r="D435" t="inlineStr">
        <is>
          <t>VÄSTERBOTTENS LÄN</t>
        </is>
      </c>
      <c r="E435" t="inlineStr">
        <is>
          <t>VINDELN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58322-2025</t>
        </is>
      </c>
      <c r="B436" s="1" t="n">
        <v>45985</v>
      </c>
      <c r="C436" s="1" t="n">
        <v>46197</v>
      </c>
      <c r="D436" t="inlineStr">
        <is>
          <t>VÄSTERBOTTENS LÄN</t>
        </is>
      </c>
      <c r="E436" t="inlineStr">
        <is>
          <t>VINDELN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58491-2025</t>
        </is>
      </c>
      <c r="B437" s="1" t="n">
        <v>45985</v>
      </c>
      <c r="C437" s="1" t="n">
        <v>46197</v>
      </c>
      <c r="D437" t="inlineStr">
        <is>
          <t>VÄSTERBOTTENS LÄN</t>
        </is>
      </c>
      <c r="E437" t="inlineStr">
        <is>
          <t>VINDELN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11701-2026</t>
        </is>
      </c>
      <c r="B438" s="1" t="n">
        <v>46084</v>
      </c>
      <c r="C438" s="1" t="n">
        <v>46197</v>
      </c>
      <c r="D438" t="inlineStr">
        <is>
          <t>VÄSTERBOTTENS LÄN</t>
        </is>
      </c>
      <c r="E438" t="inlineStr">
        <is>
          <t>VINDELN</t>
        </is>
      </c>
      <c r="G438" t="n">
        <v>15.9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11753-2026</t>
        </is>
      </c>
      <c r="B439" s="1" t="n">
        <v>46084</v>
      </c>
      <c r="C439" s="1" t="n">
        <v>46197</v>
      </c>
      <c r="D439" t="inlineStr">
        <is>
          <t>VÄSTERBOTTENS LÄN</t>
        </is>
      </c>
      <c r="E439" t="inlineStr">
        <is>
          <t>VINDELN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11834-2026</t>
        </is>
      </c>
      <c r="B440" s="1" t="n">
        <v>46085</v>
      </c>
      <c r="C440" s="1" t="n">
        <v>46197</v>
      </c>
      <c r="D440" t="inlineStr">
        <is>
          <t>VÄSTERBOTTENS LÄN</t>
        </is>
      </c>
      <c r="E440" t="inlineStr">
        <is>
          <t>VINDELN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59182-2025</t>
        </is>
      </c>
      <c r="B441" s="1" t="n">
        <v>45988</v>
      </c>
      <c r="C441" s="1" t="n">
        <v>46197</v>
      </c>
      <c r="D441" t="inlineStr">
        <is>
          <t>VÄSTERBOTTENS LÄN</t>
        </is>
      </c>
      <c r="E441" t="inlineStr">
        <is>
          <t>VINDELN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11698-2026</t>
        </is>
      </c>
      <c r="B442" s="1" t="n">
        <v>46084</v>
      </c>
      <c r="C442" s="1" t="n">
        <v>46197</v>
      </c>
      <c r="D442" t="inlineStr">
        <is>
          <t>VÄSTERBOTTENS LÄN</t>
        </is>
      </c>
      <c r="E442" t="inlineStr">
        <is>
          <t>VINDELN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7700-2025</t>
        </is>
      </c>
      <c r="B443" s="1" t="n">
        <v>45706</v>
      </c>
      <c r="C443" s="1" t="n">
        <v>46197</v>
      </c>
      <c r="D443" t="inlineStr">
        <is>
          <t>VÄSTERBOTTENS LÄN</t>
        </is>
      </c>
      <c r="E443" t="inlineStr">
        <is>
          <t>VINDELN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32489-2024</t>
        </is>
      </c>
      <c r="B444" s="1" t="n">
        <v>45513</v>
      </c>
      <c r="C444" s="1" t="n">
        <v>46197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13756-2025</t>
        </is>
      </c>
      <c r="B445" s="1" t="n">
        <v>45737</v>
      </c>
      <c r="C445" s="1" t="n">
        <v>46197</v>
      </c>
      <c r="D445" t="inlineStr">
        <is>
          <t>VÄSTERBOTTENS LÄN</t>
        </is>
      </c>
      <c r="E445" t="inlineStr">
        <is>
          <t>VINDELN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13999-2025</t>
        </is>
      </c>
      <c r="B446" s="1" t="n">
        <v>45739</v>
      </c>
      <c r="C446" s="1" t="n">
        <v>46197</v>
      </c>
      <c r="D446" t="inlineStr">
        <is>
          <t>VÄSTERBOTTENS LÄN</t>
        </is>
      </c>
      <c r="E446" t="inlineStr">
        <is>
          <t>VINDELN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40130-2024</t>
        </is>
      </c>
      <c r="B447" s="1" t="n">
        <v>45554</v>
      </c>
      <c r="C447" s="1" t="n">
        <v>46197</v>
      </c>
      <c r="D447" t="inlineStr">
        <is>
          <t>VÄSTERBOTTENS LÄN</t>
        </is>
      </c>
      <c r="E447" t="inlineStr">
        <is>
          <t>VINDELN</t>
        </is>
      </c>
      <c r="G447" t="n">
        <v>13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28998-2022</t>
        </is>
      </c>
      <c r="B448" s="1" t="n">
        <v>44749</v>
      </c>
      <c r="C448" s="1" t="n">
        <v>46197</v>
      </c>
      <c r="D448" t="inlineStr">
        <is>
          <t>VÄSTERBOTTENS LÄN</t>
        </is>
      </c>
      <c r="E448" t="inlineStr">
        <is>
          <t>VINDELN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55134-2022</t>
        </is>
      </c>
      <c r="B449" s="1" t="n">
        <v>44886</v>
      </c>
      <c r="C449" s="1" t="n">
        <v>46197</v>
      </c>
      <c r="D449" t="inlineStr">
        <is>
          <t>VÄSTERBOTTENS LÄN</t>
        </is>
      </c>
      <c r="E449" t="inlineStr">
        <is>
          <t>VINDELN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59925-2025</t>
        </is>
      </c>
      <c r="B450" s="1" t="n">
        <v>45993</v>
      </c>
      <c r="C450" s="1" t="n">
        <v>46197</v>
      </c>
      <c r="D450" t="inlineStr">
        <is>
          <t>VÄSTERBOTTENS LÄN</t>
        </is>
      </c>
      <c r="E450" t="inlineStr">
        <is>
          <t>VINDELN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59960-2025</t>
        </is>
      </c>
      <c r="B451" s="1" t="n">
        <v>45993</v>
      </c>
      <c r="C451" s="1" t="n">
        <v>46197</v>
      </c>
      <c r="D451" t="inlineStr">
        <is>
          <t>VÄSTERBOTTENS LÄN</t>
        </is>
      </c>
      <c r="E451" t="inlineStr">
        <is>
          <t>VINDELN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60294-2025</t>
        </is>
      </c>
      <c r="B452" s="1" t="n">
        <v>45994</v>
      </c>
      <c r="C452" s="1" t="n">
        <v>46197</v>
      </c>
      <c r="D452" t="inlineStr">
        <is>
          <t>VÄSTERBOTTENS LÄN</t>
        </is>
      </c>
      <c r="E452" t="inlineStr">
        <is>
          <t>VINDELN</t>
        </is>
      </c>
      <c r="F452" t="inlineStr">
        <is>
          <t>Sveaskog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34733-2024</t>
        </is>
      </c>
      <c r="B453" s="1" t="n">
        <v>45526</v>
      </c>
      <c r="C453" s="1" t="n">
        <v>46197</v>
      </c>
      <c r="D453" t="inlineStr">
        <is>
          <t>VÄSTERBOTTENS LÄN</t>
        </is>
      </c>
      <c r="E453" t="inlineStr">
        <is>
          <t>VINDELN</t>
        </is>
      </c>
      <c r="F453" t="inlineStr">
        <is>
          <t>Sveaskog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59979-2025</t>
        </is>
      </c>
      <c r="B454" s="1" t="n">
        <v>45993</v>
      </c>
      <c r="C454" s="1" t="n">
        <v>46197</v>
      </c>
      <c r="D454" t="inlineStr">
        <is>
          <t>VÄSTERBOTTENS LÄN</t>
        </is>
      </c>
      <c r="E454" t="inlineStr">
        <is>
          <t>VINDELN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60125-2025</t>
        </is>
      </c>
      <c r="B455" s="1" t="n">
        <v>45994</v>
      </c>
      <c r="C455" s="1" t="n">
        <v>46197</v>
      </c>
      <c r="D455" t="inlineStr">
        <is>
          <t>VÄSTERBOTTENS LÄN</t>
        </is>
      </c>
      <c r="E455" t="inlineStr">
        <is>
          <t>VINDELN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60137-2025</t>
        </is>
      </c>
      <c r="B456" s="1" t="n">
        <v>45994</v>
      </c>
      <c r="C456" s="1" t="n">
        <v>46197</v>
      </c>
      <c r="D456" t="inlineStr">
        <is>
          <t>VÄSTERBOTTENS LÄN</t>
        </is>
      </c>
      <c r="E456" t="inlineStr">
        <is>
          <t>VINDELN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12620-2026</t>
        </is>
      </c>
      <c r="B457" s="1" t="n">
        <v>46091</v>
      </c>
      <c r="C457" s="1" t="n">
        <v>46197</v>
      </c>
      <c r="D457" t="inlineStr">
        <is>
          <t>VÄSTERBOTTENS LÄN</t>
        </is>
      </c>
      <c r="E457" t="inlineStr">
        <is>
          <t>VINDELN</t>
        </is>
      </c>
      <c r="F457" t="inlineStr">
        <is>
          <t>SCA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12721-2026</t>
        </is>
      </c>
      <c r="B458" s="1" t="n">
        <v>46091</v>
      </c>
      <c r="C458" s="1" t="n">
        <v>46197</v>
      </c>
      <c r="D458" t="inlineStr">
        <is>
          <t>VÄSTERBOTTENS LÄN</t>
        </is>
      </c>
      <c r="E458" t="inlineStr">
        <is>
          <t>VINDELN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12741-2026</t>
        </is>
      </c>
      <c r="B459" s="1" t="n">
        <v>46091</v>
      </c>
      <c r="C459" s="1" t="n">
        <v>46197</v>
      </c>
      <c r="D459" t="inlineStr">
        <is>
          <t>VÄSTERBOTTENS LÄN</t>
        </is>
      </c>
      <c r="E459" t="inlineStr">
        <is>
          <t>VINDELN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60545-2025</t>
        </is>
      </c>
      <c r="B460" s="1" t="n">
        <v>45995</v>
      </c>
      <c r="C460" s="1" t="n">
        <v>46197</v>
      </c>
      <c r="D460" t="inlineStr">
        <is>
          <t>VÄSTERBOTTENS LÄN</t>
        </is>
      </c>
      <c r="E460" t="inlineStr">
        <is>
          <t>VINDELN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61005-2025</t>
        </is>
      </c>
      <c r="B461" s="1" t="n">
        <v>45996</v>
      </c>
      <c r="C461" s="1" t="n">
        <v>46197</v>
      </c>
      <c r="D461" t="inlineStr">
        <is>
          <t>VÄSTERBOTTENS LÄN</t>
        </is>
      </c>
      <c r="E461" t="inlineStr">
        <is>
          <t>VINDELN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61137-2025</t>
        </is>
      </c>
      <c r="B462" s="1" t="n">
        <v>46000</v>
      </c>
      <c r="C462" s="1" t="n">
        <v>46197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61132-2025</t>
        </is>
      </c>
      <c r="B463" s="1" t="n">
        <v>46000</v>
      </c>
      <c r="C463" s="1" t="n">
        <v>46197</v>
      </c>
      <c r="D463" t="inlineStr">
        <is>
          <t>VÄSTERBOTTENS LÄN</t>
        </is>
      </c>
      <c r="E463" t="inlineStr">
        <is>
          <t>VINDELN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13873-2025</t>
        </is>
      </c>
      <c r="B464" s="1" t="n">
        <v>45737</v>
      </c>
      <c r="C464" s="1" t="n">
        <v>46197</v>
      </c>
      <c r="D464" t="inlineStr">
        <is>
          <t>VÄSTERBOTTENS LÄN</t>
        </is>
      </c>
      <c r="E464" t="inlineStr">
        <is>
          <t>VINDELN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58187-2023</t>
        </is>
      </c>
      <c r="B465" s="1" t="n">
        <v>45250</v>
      </c>
      <c r="C465" s="1" t="n">
        <v>46197</v>
      </c>
      <c r="D465" t="inlineStr">
        <is>
          <t>VÄSTERBOTTENS LÄN</t>
        </is>
      </c>
      <c r="E465" t="inlineStr">
        <is>
          <t>VINDELN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18862-2023</t>
        </is>
      </c>
      <c r="B466" s="1" t="n">
        <v>45043</v>
      </c>
      <c r="C466" s="1" t="n">
        <v>46197</v>
      </c>
      <c r="D466" t="inlineStr">
        <is>
          <t>VÄSTERBOTTENS LÄN</t>
        </is>
      </c>
      <c r="E466" t="inlineStr">
        <is>
          <t>VINDELN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60927-2025</t>
        </is>
      </c>
      <c r="B467" s="1" t="n">
        <v>45999</v>
      </c>
      <c r="C467" s="1" t="n">
        <v>46197</v>
      </c>
      <c r="D467" t="inlineStr">
        <is>
          <t>VÄSTERBOTTENS LÄN</t>
        </is>
      </c>
      <c r="E467" t="inlineStr">
        <is>
          <t>VINDELN</t>
        </is>
      </c>
      <c r="G467" t="n">
        <v>11.9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61550-2025</t>
        </is>
      </c>
      <c r="B468" s="1" t="n">
        <v>46001</v>
      </c>
      <c r="C468" s="1" t="n">
        <v>46197</v>
      </c>
      <c r="D468" t="inlineStr">
        <is>
          <t>VÄSTERBOTTENS LÄN</t>
        </is>
      </c>
      <c r="E468" t="inlineStr">
        <is>
          <t>VINDELN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61555-2025</t>
        </is>
      </c>
      <c r="B469" s="1" t="n">
        <v>46001</v>
      </c>
      <c r="C469" s="1" t="n">
        <v>46197</v>
      </c>
      <c r="D469" t="inlineStr">
        <is>
          <t>VÄSTERBOTTENS LÄN</t>
        </is>
      </c>
      <c r="E469" t="inlineStr">
        <is>
          <t>VINDELN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61728-2025</t>
        </is>
      </c>
      <c r="B470" s="1" t="n">
        <v>46002</v>
      </c>
      <c r="C470" s="1" t="n">
        <v>46197</v>
      </c>
      <c r="D470" t="inlineStr">
        <is>
          <t>VÄSTERBOTTENS LÄN</t>
        </is>
      </c>
      <c r="E470" t="inlineStr">
        <is>
          <t>VINDELN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61724-2025</t>
        </is>
      </c>
      <c r="B471" s="1" t="n">
        <v>46002</v>
      </c>
      <c r="C471" s="1" t="n">
        <v>46197</v>
      </c>
      <c r="D471" t="inlineStr">
        <is>
          <t>VÄSTERBOTTENS LÄN</t>
        </is>
      </c>
      <c r="E471" t="inlineStr">
        <is>
          <t>VINDELN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16995-2025</t>
        </is>
      </c>
      <c r="B472" s="1" t="n">
        <v>45755</v>
      </c>
      <c r="C472" s="1" t="n">
        <v>46197</v>
      </c>
      <c r="D472" t="inlineStr">
        <is>
          <t>VÄSTERBOTTENS LÄN</t>
        </is>
      </c>
      <c r="E472" t="inlineStr">
        <is>
          <t>VINDELN</t>
        </is>
      </c>
      <c r="F472" t="inlineStr">
        <is>
          <t>Holmen skog AB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13718-2026</t>
        </is>
      </c>
      <c r="B473" s="1" t="n">
        <v>46097</v>
      </c>
      <c r="C473" s="1" t="n">
        <v>46197</v>
      </c>
      <c r="D473" t="inlineStr">
        <is>
          <t>VÄSTERBOTTENS LÄN</t>
        </is>
      </c>
      <c r="E473" t="inlineStr">
        <is>
          <t>VINDELN</t>
        </is>
      </c>
      <c r="F473" t="inlineStr">
        <is>
          <t>SCA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62263-2025</t>
        </is>
      </c>
      <c r="B474" s="1" t="n">
        <v>46006</v>
      </c>
      <c r="C474" s="1" t="n">
        <v>46197</v>
      </c>
      <c r="D474" t="inlineStr">
        <is>
          <t>VÄSTERBOTTENS LÄN</t>
        </is>
      </c>
      <c r="E474" t="inlineStr">
        <is>
          <t>VINDELN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62146-2025</t>
        </is>
      </c>
      <c r="B475" s="1" t="n">
        <v>46006</v>
      </c>
      <c r="C475" s="1" t="n">
        <v>46197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Sveaskog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62267-2025</t>
        </is>
      </c>
      <c r="B476" s="1" t="n">
        <v>46006</v>
      </c>
      <c r="C476" s="1" t="n">
        <v>46197</v>
      </c>
      <c r="D476" t="inlineStr">
        <is>
          <t>VÄSTERBOTTENS LÄN</t>
        </is>
      </c>
      <c r="E476" t="inlineStr">
        <is>
          <t>VINDELN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13698-2026</t>
        </is>
      </c>
      <c r="B477" s="1" t="n">
        <v>46097</v>
      </c>
      <c r="C477" s="1" t="n">
        <v>46197</v>
      </c>
      <c r="D477" t="inlineStr">
        <is>
          <t>VÄSTERBOTTENS LÄN</t>
        </is>
      </c>
      <c r="E477" t="inlineStr">
        <is>
          <t>VINDELN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62699-2025</t>
        </is>
      </c>
      <c r="B478" s="1" t="n">
        <v>46008</v>
      </c>
      <c r="C478" s="1" t="n">
        <v>46197</v>
      </c>
      <c r="D478" t="inlineStr">
        <is>
          <t>VÄSTERBOTTENS LÄN</t>
        </is>
      </c>
      <c r="E478" t="inlineStr">
        <is>
          <t>VINDELN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14186-2026</t>
        </is>
      </c>
      <c r="B479" s="1" t="n">
        <v>46099</v>
      </c>
      <c r="C479" s="1" t="n">
        <v>46197</v>
      </c>
      <c r="D479" t="inlineStr">
        <is>
          <t>VÄSTERBOTTENS LÄN</t>
        </is>
      </c>
      <c r="E479" t="inlineStr">
        <is>
          <t>VINDELN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36316-2024</t>
        </is>
      </c>
      <c r="B480" s="1" t="n">
        <v>45534</v>
      </c>
      <c r="C480" s="1" t="n">
        <v>46197</v>
      </c>
      <c r="D480" t="inlineStr">
        <is>
          <t>VÄSTERBOTTENS LÄN</t>
        </is>
      </c>
      <c r="E480" t="inlineStr">
        <is>
          <t>VINDELN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62996-2025</t>
        </is>
      </c>
      <c r="B481" s="1" t="n">
        <v>46009</v>
      </c>
      <c r="C481" s="1" t="n">
        <v>46197</v>
      </c>
      <c r="D481" t="inlineStr">
        <is>
          <t>VÄSTERBOTTENS LÄN</t>
        </is>
      </c>
      <c r="E481" t="inlineStr">
        <is>
          <t>VINDELN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63022-2025</t>
        </is>
      </c>
      <c r="B482" s="1" t="n">
        <v>46009</v>
      </c>
      <c r="C482" s="1" t="n">
        <v>46197</v>
      </c>
      <c r="D482" t="inlineStr">
        <is>
          <t>VÄSTERBOTTENS LÄN</t>
        </is>
      </c>
      <c r="E482" t="inlineStr">
        <is>
          <t>VINDELN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14181-2026</t>
        </is>
      </c>
      <c r="B483" s="1" t="n">
        <v>46099</v>
      </c>
      <c r="C483" s="1" t="n">
        <v>46197</v>
      </c>
      <c r="D483" t="inlineStr">
        <is>
          <t>VÄSTERBOTTENS LÄN</t>
        </is>
      </c>
      <c r="E483" t="inlineStr">
        <is>
          <t>VINDELN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62976-2025</t>
        </is>
      </c>
      <c r="B484" s="1" t="n">
        <v>46009</v>
      </c>
      <c r="C484" s="1" t="n">
        <v>46197</v>
      </c>
      <c r="D484" t="inlineStr">
        <is>
          <t>VÄSTERBOTTENS LÄN</t>
        </is>
      </c>
      <c r="E484" t="inlineStr">
        <is>
          <t>VINDELN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22509-2023</t>
        </is>
      </c>
      <c r="B485" s="1" t="n">
        <v>45069</v>
      </c>
      <c r="C485" s="1" t="n">
        <v>46197</v>
      </c>
      <c r="D485" t="inlineStr">
        <is>
          <t>VÄSTERBOTTENS LÄN</t>
        </is>
      </c>
      <c r="E485" t="inlineStr">
        <is>
          <t>VINDELN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14753-2026</t>
        </is>
      </c>
      <c r="B486" s="1" t="n">
        <v>46101</v>
      </c>
      <c r="C486" s="1" t="n">
        <v>46197</v>
      </c>
      <c r="D486" t="inlineStr">
        <is>
          <t>VÄSTERBOTTENS LÄN</t>
        </is>
      </c>
      <c r="E486" t="inlineStr">
        <is>
          <t>VINDELN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14621-2026</t>
        </is>
      </c>
      <c r="B487" s="1" t="n">
        <v>46101</v>
      </c>
      <c r="C487" s="1" t="n">
        <v>46197</v>
      </c>
      <c r="D487" t="inlineStr">
        <is>
          <t>VÄSTERBOTTENS LÄN</t>
        </is>
      </c>
      <c r="E487" t="inlineStr">
        <is>
          <t>VINDELN</t>
        </is>
      </c>
      <c r="G487" t="n">
        <v>10.4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14755-2026</t>
        </is>
      </c>
      <c r="B488" s="1" t="n">
        <v>46101</v>
      </c>
      <c r="C488" s="1" t="n">
        <v>46197</v>
      </c>
      <c r="D488" t="inlineStr">
        <is>
          <t>VÄSTERBOTTENS LÄN</t>
        </is>
      </c>
      <c r="E488" t="inlineStr">
        <is>
          <t>VINDELN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14763-2026</t>
        </is>
      </c>
      <c r="B489" s="1" t="n">
        <v>46101</v>
      </c>
      <c r="C489" s="1" t="n">
        <v>46197</v>
      </c>
      <c r="D489" t="inlineStr">
        <is>
          <t>VÄSTERBOTTENS LÄN</t>
        </is>
      </c>
      <c r="E489" t="inlineStr">
        <is>
          <t>VINDELN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47444-2022</t>
        </is>
      </c>
      <c r="B490" s="1" t="n">
        <v>44851</v>
      </c>
      <c r="C490" s="1" t="n">
        <v>46197</v>
      </c>
      <c r="D490" t="inlineStr">
        <is>
          <t>VÄSTERBOTTENS LÄN</t>
        </is>
      </c>
      <c r="E490" t="inlineStr">
        <is>
          <t>VINDELN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63021-2025</t>
        </is>
      </c>
      <c r="B491" s="1" t="n">
        <v>46009</v>
      </c>
      <c r="C491" s="1" t="n">
        <v>46197</v>
      </c>
      <c r="D491" t="inlineStr">
        <is>
          <t>VÄSTERBOTTENS LÄN</t>
        </is>
      </c>
      <c r="E491" t="inlineStr">
        <is>
          <t>VINDELN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14452-2026</t>
        </is>
      </c>
      <c r="B492" s="1" t="n">
        <v>46100</v>
      </c>
      <c r="C492" s="1" t="n">
        <v>46197</v>
      </c>
      <c r="D492" t="inlineStr">
        <is>
          <t>VÄSTERBOTTENS LÄN</t>
        </is>
      </c>
      <c r="E492" t="inlineStr">
        <is>
          <t>VINDELN</t>
        </is>
      </c>
      <c r="F492" t="inlineStr">
        <is>
          <t>Holmen skog AB</t>
        </is>
      </c>
      <c r="G492" t="n">
        <v>9.199999999999999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14752-2026</t>
        </is>
      </c>
      <c r="B493" s="1" t="n">
        <v>46101</v>
      </c>
      <c r="C493" s="1" t="n">
        <v>46197</v>
      </c>
      <c r="D493" t="inlineStr">
        <is>
          <t>VÄSTERBOTTENS LÄN</t>
        </is>
      </c>
      <c r="E493" t="inlineStr">
        <is>
          <t>VINDELN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19939-2025</t>
        </is>
      </c>
      <c r="B494" s="1" t="n">
        <v>45771</v>
      </c>
      <c r="C494" s="1" t="n">
        <v>46197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13202-2022</t>
        </is>
      </c>
      <c r="B495" s="1" t="n">
        <v>44644</v>
      </c>
      <c r="C495" s="1" t="n">
        <v>46197</v>
      </c>
      <c r="D495" t="inlineStr">
        <is>
          <t>VÄSTERBOTTENS LÄN</t>
        </is>
      </c>
      <c r="E495" t="inlineStr">
        <is>
          <t>VINDELN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62732-2022</t>
        </is>
      </c>
      <c r="B496" s="1" t="n">
        <v>44925</v>
      </c>
      <c r="C496" s="1" t="n">
        <v>46197</v>
      </c>
      <c r="D496" t="inlineStr">
        <is>
          <t>VÄSTERBOTTENS LÄN</t>
        </is>
      </c>
      <c r="E496" t="inlineStr">
        <is>
          <t>VINDELN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45079-2025</t>
        </is>
      </c>
      <c r="B497" s="1" t="n">
        <v>45919</v>
      </c>
      <c r="C497" s="1" t="n">
        <v>46197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50084-2024</t>
        </is>
      </c>
      <c r="B498" s="1" t="n">
        <v>45597</v>
      </c>
      <c r="C498" s="1" t="n">
        <v>46197</v>
      </c>
      <c r="D498" t="inlineStr">
        <is>
          <t>VÄSTERBOTTENS LÄN</t>
        </is>
      </c>
      <c r="E498" t="inlineStr">
        <is>
          <t>VINDELN</t>
        </is>
      </c>
      <c r="G498" t="n">
        <v>6.4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14231-2025</t>
        </is>
      </c>
      <c r="B499" s="1" t="n">
        <v>45740</v>
      </c>
      <c r="C499" s="1" t="n">
        <v>46197</v>
      </c>
      <c r="D499" t="inlineStr">
        <is>
          <t>VÄSTERBOTTENS LÄN</t>
        </is>
      </c>
      <c r="E499" t="inlineStr">
        <is>
          <t>VINDELN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59160-2021</t>
        </is>
      </c>
      <c r="B500" s="1" t="n">
        <v>44490</v>
      </c>
      <c r="C500" s="1" t="n">
        <v>46197</v>
      </c>
      <c r="D500" t="inlineStr">
        <is>
          <t>VÄSTERBOTTENS LÄN</t>
        </is>
      </c>
      <c r="E500" t="inlineStr">
        <is>
          <t>VINDELN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14235-2025</t>
        </is>
      </c>
      <c r="B501" s="1" t="n">
        <v>45740</v>
      </c>
      <c r="C501" s="1" t="n">
        <v>46197</v>
      </c>
      <c r="D501" t="inlineStr">
        <is>
          <t>VÄSTERBOTTENS LÄN</t>
        </is>
      </c>
      <c r="E501" t="inlineStr">
        <is>
          <t>VINDELN</t>
        </is>
      </c>
      <c r="G501" t="n">
        <v>8.199999999999999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61497-2022</t>
        </is>
      </c>
      <c r="B502" s="1" t="n">
        <v>44910</v>
      </c>
      <c r="C502" s="1" t="n">
        <v>46197</v>
      </c>
      <c r="D502" t="inlineStr">
        <is>
          <t>VÄSTERBOTTENS LÄN</t>
        </is>
      </c>
      <c r="E502" t="inlineStr">
        <is>
          <t>VINDELN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41498-2024</t>
        </is>
      </c>
      <c r="B503" s="1" t="n">
        <v>45560</v>
      </c>
      <c r="C503" s="1" t="n">
        <v>46197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1258-2026</t>
        </is>
      </c>
      <c r="B504" s="1" t="n">
        <v>46031</v>
      </c>
      <c r="C504" s="1" t="n">
        <v>46197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1267-2026</t>
        </is>
      </c>
      <c r="B505" s="1" t="n">
        <v>46031</v>
      </c>
      <c r="C505" s="1" t="n">
        <v>46197</v>
      </c>
      <c r="D505" t="inlineStr">
        <is>
          <t>VÄSTERBOTTENS LÄN</t>
        </is>
      </c>
      <c r="E505" t="inlineStr">
        <is>
          <t>VINDELN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15874-2026</t>
        </is>
      </c>
      <c r="B506" s="1" t="n">
        <v>46107</v>
      </c>
      <c r="C506" s="1" t="n">
        <v>46197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SCA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49587-2024</t>
        </is>
      </c>
      <c r="B507" s="1" t="n">
        <v>45596</v>
      </c>
      <c r="C507" s="1" t="n">
        <v>46197</v>
      </c>
      <c r="D507" t="inlineStr">
        <is>
          <t>VÄSTERBOTTENS LÄN</t>
        </is>
      </c>
      <c r="E507" t="inlineStr">
        <is>
          <t>VINDELN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1334-2026</t>
        </is>
      </c>
      <c r="B508" s="1" t="n">
        <v>46031</v>
      </c>
      <c r="C508" s="1" t="n">
        <v>46197</v>
      </c>
      <c r="D508" t="inlineStr">
        <is>
          <t>VÄSTERBOTTENS LÄN</t>
        </is>
      </c>
      <c r="E508" t="inlineStr">
        <is>
          <t>VINDELN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24756-2024</t>
        </is>
      </c>
      <c r="B509" s="1" t="n">
        <v>45460</v>
      </c>
      <c r="C509" s="1" t="n">
        <v>46197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15792-2026</t>
        </is>
      </c>
      <c r="B510" s="1" t="n">
        <v>46107</v>
      </c>
      <c r="C510" s="1" t="n">
        <v>46197</v>
      </c>
      <c r="D510" t="inlineStr">
        <is>
          <t>VÄSTERBOTTENS LÄN</t>
        </is>
      </c>
      <c r="E510" t="inlineStr">
        <is>
          <t>VINDELN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41096-2024</t>
        </is>
      </c>
      <c r="B511" s="1" t="n">
        <v>45559</v>
      </c>
      <c r="C511" s="1" t="n">
        <v>46197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Sveaskog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41107-2024</t>
        </is>
      </c>
      <c r="B512" s="1" t="n">
        <v>45559</v>
      </c>
      <c r="C512" s="1" t="n">
        <v>46197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Sveaskog</t>
        </is>
      </c>
      <c r="G512" t="n">
        <v>10.2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41113-2024</t>
        </is>
      </c>
      <c r="B513" s="1" t="n">
        <v>45559</v>
      </c>
      <c r="C513" s="1" t="n">
        <v>46197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45408-2024</t>
        </is>
      </c>
      <c r="B514" s="1" t="n">
        <v>45576</v>
      </c>
      <c r="C514" s="1" t="n">
        <v>46197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32992-2023</t>
        </is>
      </c>
      <c r="B515" s="1" t="n">
        <v>45113</v>
      </c>
      <c r="C515" s="1" t="n">
        <v>46197</v>
      </c>
      <c r="D515" t="inlineStr">
        <is>
          <t>VÄSTERBOTTENS LÄN</t>
        </is>
      </c>
      <c r="E515" t="inlineStr">
        <is>
          <t>VINDELN</t>
        </is>
      </c>
      <c r="G515" t="n">
        <v>13.4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16424-2026</t>
        </is>
      </c>
      <c r="B516" s="1" t="n">
        <v>46111</v>
      </c>
      <c r="C516" s="1" t="n">
        <v>46197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21.3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3630-2024</t>
        </is>
      </c>
      <c r="B517" s="1" t="n">
        <v>45320</v>
      </c>
      <c r="C517" s="1" t="n">
        <v>46197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60871-2024</t>
        </is>
      </c>
      <c r="B518" s="1" t="n">
        <v>45644</v>
      </c>
      <c r="C518" s="1" t="n">
        <v>46197</v>
      </c>
      <c r="D518" t="inlineStr">
        <is>
          <t>VÄSTERBOTTENS LÄN</t>
        </is>
      </c>
      <c r="E518" t="inlineStr">
        <is>
          <t>VINDELN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16508-2026</t>
        </is>
      </c>
      <c r="B519" s="1" t="n">
        <v>46112</v>
      </c>
      <c r="C519" s="1" t="n">
        <v>46197</v>
      </c>
      <c r="D519" t="inlineStr">
        <is>
          <t>VÄSTERBOTTENS LÄN</t>
        </is>
      </c>
      <c r="E519" t="inlineStr">
        <is>
          <t>VINDELN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16892-2026</t>
        </is>
      </c>
      <c r="B520" s="1" t="n">
        <v>46113</v>
      </c>
      <c r="C520" s="1" t="n">
        <v>46197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SCA</t>
        </is>
      </c>
      <c r="G520" t="n">
        <v>12.6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22498-2026</t>
        </is>
      </c>
      <c r="B521" s="1" t="n">
        <v>46155</v>
      </c>
      <c r="C521" s="1" t="n">
        <v>46197</v>
      </c>
      <c r="D521" t="inlineStr">
        <is>
          <t>VÄSTERBOTTENS LÄN</t>
        </is>
      </c>
      <c r="E521" t="inlineStr">
        <is>
          <t>VINDELN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7150-2024</t>
        </is>
      </c>
      <c r="B522" s="1" t="n">
        <v>45344</v>
      </c>
      <c r="C522" s="1" t="n">
        <v>46197</v>
      </c>
      <c r="D522" t="inlineStr">
        <is>
          <t>VÄSTERBOTTENS LÄN</t>
        </is>
      </c>
      <c r="E522" t="inlineStr">
        <is>
          <t>VINDELN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16876-2026</t>
        </is>
      </c>
      <c r="B523" s="1" t="n">
        <v>46113</v>
      </c>
      <c r="C523" s="1" t="n">
        <v>46197</v>
      </c>
      <c r="D523" t="inlineStr">
        <is>
          <t>VÄSTERBOTTENS LÄN</t>
        </is>
      </c>
      <c r="E523" t="inlineStr">
        <is>
          <t>VINDELN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16877-2026</t>
        </is>
      </c>
      <c r="B524" s="1" t="n">
        <v>46113</v>
      </c>
      <c r="C524" s="1" t="n">
        <v>46197</v>
      </c>
      <c r="D524" t="inlineStr">
        <is>
          <t>VÄSTERBOTTENS LÄN</t>
        </is>
      </c>
      <c r="E524" t="inlineStr">
        <is>
          <t>VINDELN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50090-2021</t>
        </is>
      </c>
      <c r="B525" s="1" t="n">
        <v>44455</v>
      </c>
      <c r="C525" s="1" t="n">
        <v>46197</v>
      </c>
      <c r="D525" t="inlineStr">
        <is>
          <t>VÄSTERBOTTENS LÄN</t>
        </is>
      </c>
      <c r="E525" t="inlineStr">
        <is>
          <t>VINDELN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22561-2026</t>
        </is>
      </c>
      <c r="B526" s="1" t="n">
        <v>46155</v>
      </c>
      <c r="C526" s="1" t="n">
        <v>46197</v>
      </c>
      <c r="D526" t="inlineStr">
        <is>
          <t>VÄSTERBOTTENS LÄN</t>
        </is>
      </c>
      <c r="E526" t="inlineStr">
        <is>
          <t>VINDELN</t>
        </is>
      </c>
      <c r="F526" t="inlineStr">
        <is>
          <t>SCA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22604-2026</t>
        </is>
      </c>
      <c r="B527" s="1" t="n">
        <v>46155</v>
      </c>
      <c r="C527" s="1" t="n">
        <v>46197</v>
      </c>
      <c r="D527" t="inlineStr">
        <is>
          <t>VÄSTERBOTTENS LÄN</t>
        </is>
      </c>
      <c r="E527" t="inlineStr">
        <is>
          <t>VINDELN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16505-2026</t>
        </is>
      </c>
      <c r="B528" s="1" t="n">
        <v>46112</v>
      </c>
      <c r="C528" s="1" t="n">
        <v>46197</v>
      </c>
      <c r="D528" t="inlineStr">
        <is>
          <t>VÄSTERBOTTENS LÄN</t>
        </is>
      </c>
      <c r="E528" t="inlineStr">
        <is>
          <t>VINDELN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16890-2026</t>
        </is>
      </c>
      <c r="B529" s="1" t="n">
        <v>46113</v>
      </c>
      <c r="C529" s="1" t="n">
        <v>46197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SCA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39319-2024</t>
        </is>
      </c>
      <c r="B530" s="1" t="n">
        <v>45551</v>
      </c>
      <c r="C530" s="1" t="n">
        <v>46197</v>
      </c>
      <c r="D530" t="inlineStr">
        <is>
          <t>VÄSTERBOTTENS LÄN</t>
        </is>
      </c>
      <c r="E530" t="inlineStr">
        <is>
          <t>VINDELN</t>
        </is>
      </c>
      <c r="G530" t="n">
        <v>9.6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31664-2023</t>
        </is>
      </c>
      <c r="B531" s="1" t="n">
        <v>45105</v>
      </c>
      <c r="C531" s="1" t="n">
        <v>46197</v>
      </c>
      <c r="D531" t="inlineStr">
        <is>
          <t>VÄSTERBOTTENS LÄN</t>
        </is>
      </c>
      <c r="E531" t="inlineStr">
        <is>
          <t>VINDELN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22956-2026</t>
        </is>
      </c>
      <c r="B532" s="1" t="n">
        <v>46160</v>
      </c>
      <c r="C532" s="1" t="n">
        <v>46197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SCA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46012-2024</t>
        </is>
      </c>
      <c r="B533" s="1" t="n">
        <v>45580</v>
      </c>
      <c r="C533" s="1" t="n">
        <v>46197</v>
      </c>
      <c r="D533" t="inlineStr">
        <is>
          <t>VÄSTERBOTTENS LÄN</t>
        </is>
      </c>
      <c r="E533" t="inlineStr">
        <is>
          <t>VINDELN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59799-2021</t>
        </is>
      </c>
      <c r="B534" s="1" t="n">
        <v>44491</v>
      </c>
      <c r="C534" s="1" t="n">
        <v>46197</v>
      </c>
      <c r="D534" t="inlineStr">
        <is>
          <t>VÄSTERBOTTENS LÄN</t>
        </is>
      </c>
      <c r="E534" t="inlineStr">
        <is>
          <t>VINDELN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17314-2026</t>
        </is>
      </c>
      <c r="B535" s="1" t="n">
        <v>46119</v>
      </c>
      <c r="C535" s="1" t="n">
        <v>46197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SCA</t>
        </is>
      </c>
      <c r="G535" t="n">
        <v>9.300000000000001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22944-2026</t>
        </is>
      </c>
      <c r="B536" s="1" t="n">
        <v>46160</v>
      </c>
      <c r="C536" s="1" t="n">
        <v>46197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SCA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36655-2024</t>
        </is>
      </c>
      <c r="B537" s="1" t="n">
        <v>45537</v>
      </c>
      <c r="C537" s="1" t="n">
        <v>46197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Sveaskog</t>
        </is>
      </c>
      <c r="G537" t="n">
        <v>11.2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36657-2024</t>
        </is>
      </c>
      <c r="B538" s="1" t="n">
        <v>45537</v>
      </c>
      <c r="C538" s="1" t="n">
        <v>46197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Sveaskog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23013-2026</t>
        </is>
      </c>
      <c r="B539" s="1" t="n">
        <v>46161</v>
      </c>
      <c r="C539" s="1" t="n">
        <v>46197</v>
      </c>
      <c r="D539" t="inlineStr">
        <is>
          <t>VÄSTERBOTTENS LÄN</t>
        </is>
      </c>
      <c r="E539" t="inlineStr">
        <is>
          <t>VINDELN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17517-2026</t>
        </is>
      </c>
      <c r="B540" s="1" t="n">
        <v>46120</v>
      </c>
      <c r="C540" s="1" t="n">
        <v>46197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SCA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1231-2023</t>
        </is>
      </c>
      <c r="B541" s="1" t="n">
        <v>44935</v>
      </c>
      <c r="C541" s="1" t="n">
        <v>46197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SCA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1232-2023</t>
        </is>
      </c>
      <c r="B542" s="1" t="n">
        <v>44935</v>
      </c>
      <c r="C542" s="1" t="n">
        <v>46197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SCA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1233-2023</t>
        </is>
      </c>
      <c r="B543" s="1" t="n">
        <v>44935</v>
      </c>
      <c r="C543" s="1" t="n">
        <v>46197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SCA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50840-2024</t>
        </is>
      </c>
      <c r="B544" s="1" t="n">
        <v>45602</v>
      </c>
      <c r="C544" s="1" t="n">
        <v>46197</v>
      </c>
      <c r="D544" t="inlineStr">
        <is>
          <t>VÄSTERBOTTENS LÄN</t>
        </is>
      </c>
      <c r="E544" t="inlineStr">
        <is>
          <t>VINDELN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23527-2026</t>
        </is>
      </c>
      <c r="B545" s="1" t="n">
        <v>46163</v>
      </c>
      <c r="C545" s="1" t="n">
        <v>46197</v>
      </c>
      <c r="D545" t="inlineStr">
        <is>
          <t>VÄSTERBOTTENS LÄN</t>
        </is>
      </c>
      <c r="E545" t="inlineStr">
        <is>
          <t>VINDELN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23215-2026</t>
        </is>
      </c>
      <c r="B546" s="1" t="n">
        <v>46162</v>
      </c>
      <c r="C546" s="1" t="n">
        <v>46197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SCA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23345-2026</t>
        </is>
      </c>
      <c r="B547" s="1" t="n">
        <v>46162</v>
      </c>
      <c r="C547" s="1" t="n">
        <v>46197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23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60092-2021</t>
        </is>
      </c>
      <c r="B548" s="1" t="n">
        <v>44494</v>
      </c>
      <c r="C548" s="1" t="n">
        <v>46197</v>
      </c>
      <c r="D548" t="inlineStr">
        <is>
          <t>VÄSTERBOTTENS LÄN</t>
        </is>
      </c>
      <c r="E548" t="inlineStr">
        <is>
          <t>VINDELN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17497-2026</t>
        </is>
      </c>
      <c r="B549" s="1" t="n">
        <v>46120</v>
      </c>
      <c r="C549" s="1" t="n">
        <v>46197</v>
      </c>
      <c r="D549" t="inlineStr">
        <is>
          <t>VÄSTERBOTTENS LÄN</t>
        </is>
      </c>
      <c r="E549" t="inlineStr">
        <is>
          <t>VINDELN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17842-2026</t>
        </is>
      </c>
      <c r="B550" s="1" t="n">
        <v>46122</v>
      </c>
      <c r="C550" s="1" t="n">
        <v>46197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31946-2024</t>
        </is>
      </c>
      <c r="B551" s="1" t="n">
        <v>45510</v>
      </c>
      <c r="C551" s="1" t="n">
        <v>46197</v>
      </c>
      <c r="D551" t="inlineStr">
        <is>
          <t>VÄSTERBOTTENS LÄN</t>
        </is>
      </c>
      <c r="E551" t="inlineStr">
        <is>
          <t>VINDELN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7996-2023</t>
        </is>
      </c>
      <c r="B552" s="1" t="n">
        <v>44973</v>
      </c>
      <c r="C552" s="1" t="n">
        <v>46197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45192-2024</t>
        </is>
      </c>
      <c r="B553" s="1" t="n">
        <v>45575</v>
      </c>
      <c r="C553" s="1" t="n">
        <v>46197</v>
      </c>
      <c r="D553" t="inlineStr">
        <is>
          <t>VÄSTERBOTTENS LÄN</t>
        </is>
      </c>
      <c r="E553" t="inlineStr">
        <is>
          <t>VINDELN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23873-2026</t>
        </is>
      </c>
      <c r="B554" s="1" t="n">
        <v>46167</v>
      </c>
      <c r="C554" s="1" t="n">
        <v>46197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Sveaskog</t>
        </is>
      </c>
      <c r="G554" t="n">
        <v>16.4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54016-2024</t>
        </is>
      </c>
      <c r="B555" s="1" t="n">
        <v>45616</v>
      </c>
      <c r="C555" s="1" t="n">
        <v>46197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35068-2024</t>
        </is>
      </c>
      <c r="B556" s="1" t="n">
        <v>45527</v>
      </c>
      <c r="C556" s="1" t="n">
        <v>46197</v>
      </c>
      <c r="D556" t="inlineStr">
        <is>
          <t>VÄSTERBOTTENS LÄN</t>
        </is>
      </c>
      <c r="E556" t="inlineStr">
        <is>
          <t>VINDELN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16844-2025</t>
        </is>
      </c>
      <c r="B557" s="1" t="n">
        <v>45754</v>
      </c>
      <c r="C557" s="1" t="n">
        <v>46197</v>
      </c>
      <c r="D557" t="inlineStr">
        <is>
          <t>VÄSTERBOTTENS LÄN</t>
        </is>
      </c>
      <c r="E557" t="inlineStr">
        <is>
          <t>VINDELN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36517-2024</t>
        </is>
      </c>
      <c r="B558" s="1" t="n">
        <v>45537</v>
      </c>
      <c r="C558" s="1" t="n">
        <v>46197</v>
      </c>
      <c r="D558" t="inlineStr">
        <is>
          <t>VÄSTERBOTTENS LÄN</t>
        </is>
      </c>
      <c r="E558" t="inlineStr">
        <is>
          <t>VINDELN</t>
        </is>
      </c>
      <c r="F558" t="inlineStr">
        <is>
          <t>Sveaskog</t>
        </is>
      </c>
      <c r="G558" t="n">
        <v>11.8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61523-2022</t>
        </is>
      </c>
      <c r="B559" s="1" t="n">
        <v>44916</v>
      </c>
      <c r="C559" s="1" t="n">
        <v>46197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15571-2023</t>
        </is>
      </c>
      <c r="B560" s="1" t="n">
        <v>45019</v>
      </c>
      <c r="C560" s="1" t="n">
        <v>46197</v>
      </c>
      <c r="D560" t="inlineStr">
        <is>
          <t>VÄSTERBOTTENS LÄN</t>
        </is>
      </c>
      <c r="E560" t="inlineStr">
        <is>
          <t>VINDELN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43754-2024</t>
        </is>
      </c>
      <c r="B561" s="1" t="n">
        <v>45569</v>
      </c>
      <c r="C561" s="1" t="n">
        <v>46197</v>
      </c>
      <c r="D561" t="inlineStr">
        <is>
          <t>VÄSTERBOTTENS LÄN</t>
        </is>
      </c>
      <c r="E561" t="inlineStr">
        <is>
          <t>VINDELN</t>
        </is>
      </c>
      <c r="F561" t="inlineStr">
        <is>
          <t>Naturvårdsverket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35909-2023</t>
        </is>
      </c>
      <c r="B562" s="1" t="n">
        <v>45148</v>
      </c>
      <c r="C562" s="1" t="n">
        <v>46197</v>
      </c>
      <c r="D562" t="inlineStr">
        <is>
          <t>VÄSTERBOTTENS LÄN</t>
        </is>
      </c>
      <c r="E562" t="inlineStr">
        <is>
          <t>VINDELN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35294-2023</t>
        </is>
      </c>
      <c r="B563" s="1" t="n">
        <v>45145</v>
      </c>
      <c r="C563" s="1" t="n">
        <v>46197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SCA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31397-2023</t>
        </is>
      </c>
      <c r="B564" s="1" t="n">
        <v>45114</v>
      </c>
      <c r="C564" s="1" t="n">
        <v>46197</v>
      </c>
      <c r="D564" t="inlineStr">
        <is>
          <t>VÄSTERBOTTENS LÄN</t>
        </is>
      </c>
      <c r="E564" t="inlineStr">
        <is>
          <t>VINDELN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24686-2026</t>
        </is>
      </c>
      <c r="B565" s="1" t="n">
        <v>46171</v>
      </c>
      <c r="C565" s="1" t="n">
        <v>46197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SCA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33046-2024</t>
        </is>
      </c>
      <c r="B566" s="1" t="n">
        <v>45517</v>
      </c>
      <c r="C566" s="1" t="n">
        <v>46197</v>
      </c>
      <c r="D566" t="inlineStr">
        <is>
          <t>VÄSTERBOTTENS LÄN</t>
        </is>
      </c>
      <c r="E566" t="inlineStr">
        <is>
          <t>VINDELN</t>
        </is>
      </c>
      <c r="F566" t="inlineStr">
        <is>
          <t>Sveaskog</t>
        </is>
      </c>
      <c r="G566" t="n">
        <v>10.2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33132-2024</t>
        </is>
      </c>
      <c r="B567" s="1" t="n">
        <v>45518</v>
      </c>
      <c r="C567" s="1" t="n">
        <v>46197</v>
      </c>
      <c r="D567" t="inlineStr">
        <is>
          <t>VÄSTERBOTTENS LÄN</t>
        </is>
      </c>
      <c r="E567" t="inlineStr">
        <is>
          <t>VINDELN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33206-2024</t>
        </is>
      </c>
      <c r="B568" s="1" t="n">
        <v>45518</v>
      </c>
      <c r="C568" s="1" t="n">
        <v>46197</v>
      </c>
      <c r="D568" t="inlineStr">
        <is>
          <t>VÄSTERBOTTENS LÄN</t>
        </is>
      </c>
      <c r="E568" t="inlineStr">
        <is>
          <t>VINDELN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24617-2026</t>
        </is>
      </c>
      <c r="B569" s="1" t="n">
        <v>46171</v>
      </c>
      <c r="C569" s="1" t="n">
        <v>46197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SCA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24616-2026</t>
        </is>
      </c>
      <c r="B570" s="1" t="n">
        <v>46171</v>
      </c>
      <c r="C570" s="1" t="n">
        <v>46197</v>
      </c>
      <c r="D570" t="inlineStr">
        <is>
          <t>VÄSTERBOTTENS LÄN</t>
        </is>
      </c>
      <c r="E570" t="inlineStr">
        <is>
          <t>VINDELN</t>
        </is>
      </c>
      <c r="F570" t="inlineStr">
        <is>
          <t>SCA</t>
        </is>
      </c>
      <c r="G570" t="n">
        <v>18.5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36032-2024</t>
        </is>
      </c>
      <c r="B571" s="1" t="n">
        <v>45533</v>
      </c>
      <c r="C571" s="1" t="n">
        <v>46197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18711-2026</t>
        </is>
      </c>
      <c r="B572" s="1" t="n">
        <v>46128</v>
      </c>
      <c r="C572" s="1" t="n">
        <v>46197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58544-2024</t>
        </is>
      </c>
      <c r="B573" s="1" t="n">
        <v>45635</v>
      </c>
      <c r="C573" s="1" t="n">
        <v>46197</v>
      </c>
      <c r="D573" t="inlineStr">
        <is>
          <t>VÄSTERBOTTENS LÄN</t>
        </is>
      </c>
      <c r="E573" t="inlineStr">
        <is>
          <t>VINDELN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37250-2023</t>
        </is>
      </c>
      <c r="B574" s="1" t="n">
        <v>45155</v>
      </c>
      <c r="C574" s="1" t="n">
        <v>46197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38035-2023</t>
        </is>
      </c>
      <c r="B575" s="1" t="n">
        <v>45159</v>
      </c>
      <c r="C575" s="1" t="n">
        <v>46197</v>
      </c>
      <c r="D575" t="inlineStr">
        <is>
          <t>VÄSTERBOTTENS LÄN</t>
        </is>
      </c>
      <c r="E575" t="inlineStr">
        <is>
          <t>VINDELN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25047-2026</t>
        </is>
      </c>
      <c r="B576" s="1" t="n">
        <v>46174</v>
      </c>
      <c r="C576" s="1" t="n">
        <v>46197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SCA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19640-2026</t>
        </is>
      </c>
      <c r="B577" s="1" t="n">
        <v>46134</v>
      </c>
      <c r="C577" s="1" t="n">
        <v>46197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SCA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40134-2024</t>
        </is>
      </c>
      <c r="B578" s="1" t="n">
        <v>45554</v>
      </c>
      <c r="C578" s="1" t="n">
        <v>46197</v>
      </c>
      <c r="D578" t="inlineStr">
        <is>
          <t>VÄSTERBOTTENS LÄN</t>
        </is>
      </c>
      <c r="E578" t="inlineStr">
        <is>
          <t>VINDELN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32510-2024</t>
        </is>
      </c>
      <c r="B579" s="1" t="n">
        <v>45513</v>
      </c>
      <c r="C579" s="1" t="n">
        <v>46197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19639-2026</t>
        </is>
      </c>
      <c r="B580" s="1" t="n">
        <v>46134</v>
      </c>
      <c r="C580" s="1" t="n">
        <v>46197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SCA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53350-2024</t>
        </is>
      </c>
      <c r="B581" s="1" t="n">
        <v>45614</v>
      </c>
      <c r="C581" s="1" t="n">
        <v>46197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41181-2024</t>
        </is>
      </c>
      <c r="B582" s="1" t="n">
        <v>45559</v>
      </c>
      <c r="C582" s="1" t="n">
        <v>46197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Sveaskog</t>
        </is>
      </c>
      <c r="G582" t="n">
        <v>14.7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43496-2024</t>
        </is>
      </c>
      <c r="B583" s="1" t="n">
        <v>45568</v>
      </c>
      <c r="C583" s="1" t="n">
        <v>46197</v>
      </c>
      <c r="D583" t="inlineStr">
        <is>
          <t>VÄSTERBOTTENS LÄN</t>
        </is>
      </c>
      <c r="E583" t="inlineStr">
        <is>
          <t>VINDELN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41099-2024</t>
        </is>
      </c>
      <c r="B584" s="1" t="n">
        <v>45559</v>
      </c>
      <c r="C584" s="1" t="n">
        <v>46197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Sveaskog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49557-2024</t>
        </is>
      </c>
      <c r="B585" s="1" t="n">
        <v>45596</v>
      </c>
      <c r="C585" s="1" t="n">
        <v>46197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SCA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56784-2024</t>
        </is>
      </c>
      <c r="B586" s="1" t="n">
        <v>45628</v>
      </c>
      <c r="C586" s="1" t="n">
        <v>46197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25120-2026</t>
        </is>
      </c>
      <c r="B587" s="1" t="n">
        <v>46175</v>
      </c>
      <c r="C587" s="1" t="n">
        <v>46197</v>
      </c>
      <c r="D587" t="inlineStr">
        <is>
          <t>VÄSTERBOTTENS LÄN</t>
        </is>
      </c>
      <c r="E587" t="inlineStr">
        <is>
          <t>VINDELN</t>
        </is>
      </c>
      <c r="G587" t="n">
        <v>10.6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25230-2026</t>
        </is>
      </c>
      <c r="B588" s="1" t="n">
        <v>46175</v>
      </c>
      <c r="C588" s="1" t="n">
        <v>46197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9.300000000000001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23217-2024</t>
        </is>
      </c>
      <c r="B589" s="1" t="n">
        <v>45452</v>
      </c>
      <c r="C589" s="1" t="n">
        <v>46197</v>
      </c>
      <c r="D589" t="inlineStr">
        <is>
          <t>VÄSTERBOTTENS LÄN</t>
        </is>
      </c>
      <c r="E589" t="inlineStr">
        <is>
          <t>VINDELN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28846-2023</t>
        </is>
      </c>
      <c r="B590" s="1" t="n">
        <v>45104</v>
      </c>
      <c r="C590" s="1" t="n">
        <v>46197</v>
      </c>
      <c r="D590" t="inlineStr">
        <is>
          <t>VÄSTERBOTTENS LÄN</t>
        </is>
      </c>
      <c r="E590" t="inlineStr">
        <is>
          <t>VINDELN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52403-2024</t>
        </is>
      </c>
      <c r="B591" s="1" t="n">
        <v>45609</v>
      </c>
      <c r="C591" s="1" t="n">
        <v>46197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SCA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45606-2024</t>
        </is>
      </c>
      <c r="B592" s="1" t="n">
        <v>45579</v>
      </c>
      <c r="C592" s="1" t="n">
        <v>46197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Sveaskog</t>
        </is>
      </c>
      <c r="G592" t="n">
        <v>6.8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13878-2025</t>
        </is>
      </c>
      <c r="B593" s="1" t="n">
        <v>45737</v>
      </c>
      <c r="C593" s="1" t="n">
        <v>46197</v>
      </c>
      <c r="D593" t="inlineStr">
        <is>
          <t>VÄSTERBOTTENS LÄN</t>
        </is>
      </c>
      <c r="E593" t="inlineStr">
        <is>
          <t>VINDELN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50512-2023</t>
        </is>
      </c>
      <c r="B594" s="1" t="n">
        <v>45216</v>
      </c>
      <c r="C594" s="1" t="n">
        <v>46197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SCA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60980-2024</t>
        </is>
      </c>
      <c r="B595" s="1" t="n">
        <v>45645</v>
      </c>
      <c r="C595" s="1" t="n">
        <v>46197</v>
      </c>
      <c r="D595" t="inlineStr">
        <is>
          <t>VÄSTERBOTTENS LÄN</t>
        </is>
      </c>
      <c r="E595" t="inlineStr">
        <is>
          <t>VINDELN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48135-2024</t>
        </is>
      </c>
      <c r="B596" s="1" t="n">
        <v>45589</v>
      </c>
      <c r="C596" s="1" t="n">
        <v>46197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19004-2024</t>
        </is>
      </c>
      <c r="B597" s="1" t="n">
        <v>45427</v>
      </c>
      <c r="C597" s="1" t="n">
        <v>46197</v>
      </c>
      <c r="D597" t="inlineStr">
        <is>
          <t>VÄSTERBOTTENS LÄN</t>
        </is>
      </c>
      <c r="E597" t="inlineStr">
        <is>
          <t>VINDELN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21638-2023</t>
        </is>
      </c>
      <c r="B598" s="1" t="n">
        <v>45063</v>
      </c>
      <c r="C598" s="1" t="n">
        <v>46197</v>
      </c>
      <c r="D598" t="inlineStr">
        <is>
          <t>VÄSTERBOTTENS LÄN</t>
        </is>
      </c>
      <c r="E598" t="inlineStr">
        <is>
          <t>VINDELN</t>
        </is>
      </c>
      <c r="G598" t="n">
        <v>10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19958-2026</t>
        </is>
      </c>
      <c r="B599" s="1" t="n">
        <v>46136</v>
      </c>
      <c r="C599" s="1" t="n">
        <v>46197</v>
      </c>
      <c r="D599" t="inlineStr">
        <is>
          <t>VÄSTERBOTTENS LÄN</t>
        </is>
      </c>
      <c r="E599" t="inlineStr">
        <is>
          <t>VINDELN</t>
        </is>
      </c>
      <c r="G599" t="n">
        <v>12.2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25554-2026</t>
        </is>
      </c>
      <c r="B600" s="1" t="n">
        <v>46177</v>
      </c>
      <c r="C600" s="1" t="n">
        <v>46197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SCA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25516-2026</t>
        </is>
      </c>
      <c r="B601" s="1" t="n">
        <v>46177</v>
      </c>
      <c r="C601" s="1" t="n">
        <v>46197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20090-2026</t>
        </is>
      </c>
      <c r="B602" s="1" t="n">
        <v>46136</v>
      </c>
      <c r="C602" s="1" t="n">
        <v>46197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57325-2024</t>
        </is>
      </c>
      <c r="B603" s="1" t="n">
        <v>45629</v>
      </c>
      <c r="C603" s="1" t="n">
        <v>46197</v>
      </c>
      <c r="D603" t="inlineStr">
        <is>
          <t>VÄSTERBOTTENS LÄN</t>
        </is>
      </c>
      <c r="E603" t="inlineStr">
        <is>
          <t>VINDELN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33860-2025</t>
        </is>
      </c>
      <c r="B604" s="1" t="n">
        <v>45842</v>
      </c>
      <c r="C604" s="1" t="n">
        <v>46197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9620-2025</t>
        </is>
      </c>
      <c r="B605" s="1" t="n">
        <v>45715</v>
      </c>
      <c r="C605" s="1" t="n">
        <v>46197</v>
      </c>
      <c r="D605" t="inlineStr">
        <is>
          <t>VÄSTERBOTTENS LÄN</t>
        </is>
      </c>
      <c r="E605" t="inlineStr">
        <is>
          <t>VINDELN</t>
        </is>
      </c>
      <c r="G605" t="n">
        <v>9.300000000000001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2429-2025</t>
        </is>
      </c>
      <c r="B606" s="1" t="n">
        <v>45674</v>
      </c>
      <c r="C606" s="1" t="n">
        <v>46197</v>
      </c>
      <c r="D606" t="inlineStr">
        <is>
          <t>VÄSTERBOTTENS LÄN</t>
        </is>
      </c>
      <c r="E606" t="inlineStr">
        <is>
          <t>VINDELN</t>
        </is>
      </c>
      <c r="G606" t="n">
        <v>8.300000000000001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56001-2024</t>
        </is>
      </c>
      <c r="B607" s="1" t="n">
        <v>45623</v>
      </c>
      <c r="C607" s="1" t="n">
        <v>46197</v>
      </c>
      <c r="D607" t="inlineStr">
        <is>
          <t>VÄSTERBOTTENS LÄN</t>
        </is>
      </c>
      <c r="E607" t="inlineStr">
        <is>
          <t>VINDELN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39809-2023</t>
        </is>
      </c>
      <c r="B608" s="1" t="n">
        <v>45167</v>
      </c>
      <c r="C608" s="1" t="n">
        <v>46197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SCA</t>
        </is>
      </c>
      <c r="G608" t="n">
        <v>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23427-2024</t>
        </is>
      </c>
      <c r="B609" s="1" t="n">
        <v>45453</v>
      </c>
      <c r="C609" s="1" t="n">
        <v>46197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989-2025</t>
        </is>
      </c>
      <c r="B610" s="1" t="n">
        <v>45666</v>
      </c>
      <c r="C610" s="1" t="n">
        <v>46197</v>
      </c>
      <c r="D610" t="inlineStr">
        <is>
          <t>VÄSTERBOTTENS LÄN</t>
        </is>
      </c>
      <c r="E610" t="inlineStr">
        <is>
          <t>VINDELN</t>
        </is>
      </c>
      <c r="F610" t="inlineStr">
        <is>
          <t>Naturvårdsverket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26055-2026</t>
        </is>
      </c>
      <c r="B611" s="1" t="n">
        <v>46181</v>
      </c>
      <c r="C611" s="1" t="n">
        <v>46197</v>
      </c>
      <c r="D611" t="inlineStr">
        <is>
          <t>VÄSTERBOTTENS LÄN</t>
        </is>
      </c>
      <c r="E611" t="inlineStr">
        <is>
          <t>VINDELN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12036-2025</t>
        </is>
      </c>
      <c r="B612" s="1" t="n">
        <v>45728</v>
      </c>
      <c r="C612" s="1" t="n">
        <v>46197</v>
      </c>
      <c r="D612" t="inlineStr">
        <is>
          <t>VÄSTERBOTTENS LÄN</t>
        </is>
      </c>
      <c r="E612" t="inlineStr">
        <is>
          <t>VINDELN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16780-2022</t>
        </is>
      </c>
      <c r="B613" s="1" t="n">
        <v>44673</v>
      </c>
      <c r="C613" s="1" t="n">
        <v>46197</v>
      </c>
      <c r="D613" t="inlineStr">
        <is>
          <t>VÄSTERBOTTENS LÄN</t>
        </is>
      </c>
      <c r="E613" t="inlineStr">
        <is>
          <t>VINDELN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38696-2023</t>
        </is>
      </c>
      <c r="B614" s="1" t="n">
        <v>45162</v>
      </c>
      <c r="C614" s="1" t="n">
        <v>46197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SCA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20144-2024</t>
        </is>
      </c>
      <c r="B615" s="1" t="n">
        <v>45434</v>
      </c>
      <c r="C615" s="1" t="n">
        <v>46197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9.699999999999999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37959-2023</t>
        </is>
      </c>
      <c r="B616" s="1" t="n">
        <v>45159</v>
      </c>
      <c r="C616" s="1" t="n">
        <v>46197</v>
      </c>
      <c r="D616" t="inlineStr">
        <is>
          <t>VÄSTERBOTTENS LÄN</t>
        </is>
      </c>
      <c r="E616" t="inlineStr">
        <is>
          <t>VINDELN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22557-2025</t>
        </is>
      </c>
      <c r="B617" s="1" t="n">
        <v>45789</v>
      </c>
      <c r="C617" s="1" t="n">
        <v>46197</v>
      </c>
      <c r="D617" t="inlineStr">
        <is>
          <t>VÄSTERBOTTENS LÄN</t>
        </is>
      </c>
      <c r="E617" t="inlineStr">
        <is>
          <t>VINDELN</t>
        </is>
      </c>
      <c r="G617" t="n">
        <v>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61044-2024</t>
        </is>
      </c>
      <c r="B618" s="1" t="n">
        <v>45645</v>
      </c>
      <c r="C618" s="1" t="n">
        <v>46197</v>
      </c>
      <c r="D618" t="inlineStr">
        <is>
          <t>VÄSTERBOTTENS LÄN</t>
        </is>
      </c>
      <c r="E618" t="inlineStr">
        <is>
          <t>VINDELN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43945-2023</t>
        </is>
      </c>
      <c r="B619" s="1" t="n">
        <v>45187</v>
      </c>
      <c r="C619" s="1" t="n">
        <v>46197</v>
      </c>
      <c r="D619" t="inlineStr">
        <is>
          <t>VÄSTERBOTTENS LÄN</t>
        </is>
      </c>
      <c r="E619" t="inlineStr">
        <is>
          <t>VINDELN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46839-2024</t>
        </is>
      </c>
      <c r="B620" s="1" t="n">
        <v>45583</v>
      </c>
      <c r="C620" s="1" t="n">
        <v>46197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60059-2024</t>
        </is>
      </c>
      <c r="B621" s="1" t="n">
        <v>45642</v>
      </c>
      <c r="C621" s="1" t="n">
        <v>46197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SCA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32446-2025</t>
        </is>
      </c>
      <c r="B622" s="1" t="n">
        <v>45838</v>
      </c>
      <c r="C622" s="1" t="n">
        <v>46197</v>
      </c>
      <c r="D622" t="inlineStr">
        <is>
          <t>VÄSTERBOTTENS LÄN</t>
        </is>
      </c>
      <c r="E622" t="inlineStr">
        <is>
          <t>VINDELN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18482-2025</t>
        </is>
      </c>
      <c r="B623" s="1" t="n">
        <v>45763</v>
      </c>
      <c r="C623" s="1" t="n">
        <v>46197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24726-2024</t>
        </is>
      </c>
      <c r="B624" s="1" t="n">
        <v>45460</v>
      </c>
      <c r="C624" s="1" t="n">
        <v>46197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11096-2026</t>
        </is>
      </c>
      <c r="B625" s="1" t="n">
        <v>46079</v>
      </c>
      <c r="C625" s="1" t="n">
        <v>46197</v>
      </c>
      <c r="D625" t="inlineStr">
        <is>
          <t>VÄSTERBOTTENS LÄN</t>
        </is>
      </c>
      <c r="E625" t="inlineStr">
        <is>
          <t>VINDELN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14111-2025</t>
        </is>
      </c>
      <c r="B626" s="1" t="n">
        <v>45740</v>
      </c>
      <c r="C626" s="1" t="n">
        <v>46197</v>
      </c>
      <c r="D626" t="inlineStr">
        <is>
          <t>VÄSTERBOTTENS LÄN</t>
        </is>
      </c>
      <c r="E626" t="inlineStr">
        <is>
          <t>VINDELN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31942-2022</t>
        </is>
      </c>
      <c r="B627" s="1" t="n">
        <v>44777</v>
      </c>
      <c r="C627" s="1" t="n">
        <v>46197</v>
      </c>
      <c r="D627" t="inlineStr">
        <is>
          <t>VÄSTERBOTTENS LÄN</t>
        </is>
      </c>
      <c r="E627" t="inlineStr">
        <is>
          <t>VINDELN</t>
        </is>
      </c>
      <c r="F627" t="inlineStr">
        <is>
          <t>Naturvårdsverket</t>
        </is>
      </c>
      <c r="G627" t="n">
        <v>8.800000000000001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19452-2022</t>
        </is>
      </c>
      <c r="B628" s="1" t="n">
        <v>44693</v>
      </c>
      <c r="C628" s="1" t="n">
        <v>46197</v>
      </c>
      <c r="D628" t="inlineStr">
        <is>
          <t>VÄSTERBOTTENS LÄN</t>
        </is>
      </c>
      <c r="E628" t="inlineStr">
        <is>
          <t>VINDELN</t>
        </is>
      </c>
      <c r="G628" t="n">
        <v>5.9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53002-2023</t>
        </is>
      </c>
      <c r="B629" s="1" t="n">
        <v>45226</v>
      </c>
      <c r="C629" s="1" t="n">
        <v>46197</v>
      </c>
      <c r="D629" t="inlineStr">
        <is>
          <t>VÄSTERBOTTENS LÄN</t>
        </is>
      </c>
      <c r="E629" t="inlineStr">
        <is>
          <t>VINDELN</t>
        </is>
      </c>
      <c r="F629" t="inlineStr">
        <is>
          <t>Holmen skog AB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26072-2026</t>
        </is>
      </c>
      <c r="B630" s="1" t="n">
        <v>46181</v>
      </c>
      <c r="C630" s="1" t="n">
        <v>46197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SCA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20237-2026</t>
        </is>
      </c>
      <c r="B631" s="1" t="n">
        <v>46139</v>
      </c>
      <c r="C631" s="1" t="n">
        <v>46197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20457-2026</t>
        </is>
      </c>
      <c r="B632" s="1" t="n">
        <v>46140</v>
      </c>
      <c r="C632" s="1" t="n">
        <v>46197</v>
      </c>
      <c r="D632" t="inlineStr">
        <is>
          <t>VÄSTERBOTTENS LÄN</t>
        </is>
      </c>
      <c r="E632" t="inlineStr">
        <is>
          <t>VINDELN</t>
        </is>
      </c>
      <c r="F632" t="inlineStr">
        <is>
          <t>Holmen skog AB</t>
        </is>
      </c>
      <c r="G632" t="n">
        <v>11.6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38679-2025</t>
        </is>
      </c>
      <c r="B633" s="1" t="n">
        <v>45884</v>
      </c>
      <c r="C633" s="1" t="n">
        <v>46197</v>
      </c>
      <c r="D633" t="inlineStr">
        <is>
          <t>VÄSTERBOTTENS LÄN</t>
        </is>
      </c>
      <c r="E633" t="inlineStr">
        <is>
          <t>VINDELN</t>
        </is>
      </c>
      <c r="F633" t="inlineStr">
        <is>
          <t>Naturvårdsverket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26091-2026</t>
        </is>
      </c>
      <c r="B634" s="1" t="n">
        <v>46181</v>
      </c>
      <c r="C634" s="1" t="n">
        <v>46197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SCA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35972-2025</t>
        </is>
      </c>
      <c r="B635" s="1" t="n">
        <v>45863</v>
      </c>
      <c r="C635" s="1" t="n">
        <v>46197</v>
      </c>
      <c r="D635" t="inlineStr">
        <is>
          <t>VÄSTERBOTTENS LÄN</t>
        </is>
      </c>
      <c r="E635" t="inlineStr">
        <is>
          <t>VINDELN</t>
        </is>
      </c>
      <c r="F635" t="inlineStr">
        <is>
          <t>Holmen skog AB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25399-2024</t>
        </is>
      </c>
      <c r="B636" s="1" t="n">
        <v>45463</v>
      </c>
      <c r="C636" s="1" t="n">
        <v>46197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32680-2024</t>
        </is>
      </c>
      <c r="B637" s="1" t="n">
        <v>45514</v>
      </c>
      <c r="C637" s="1" t="n">
        <v>46197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SCA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38315-2023</t>
        </is>
      </c>
      <c r="B638" s="1" t="n">
        <v>45161</v>
      </c>
      <c r="C638" s="1" t="n">
        <v>46197</v>
      </c>
      <c r="D638" t="inlineStr">
        <is>
          <t>VÄSTERBOTTENS LÄN</t>
        </is>
      </c>
      <c r="E638" t="inlineStr">
        <is>
          <t>VINDELN</t>
        </is>
      </c>
      <c r="F638" t="inlineStr">
        <is>
          <t>Holmen skog AB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50805-2023</t>
        </is>
      </c>
      <c r="B639" s="1" t="n">
        <v>45211</v>
      </c>
      <c r="C639" s="1" t="n">
        <v>46197</v>
      </c>
      <c r="D639" t="inlineStr">
        <is>
          <t>VÄSTERBOTTENS LÄN</t>
        </is>
      </c>
      <c r="E639" t="inlineStr">
        <is>
          <t>VINDELN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60311-2022</t>
        </is>
      </c>
      <c r="B640" s="1" t="n">
        <v>44910</v>
      </c>
      <c r="C640" s="1" t="n">
        <v>46197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Sveaskog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60391-2024</t>
        </is>
      </c>
      <c r="B641" s="1" t="n">
        <v>45643</v>
      </c>
      <c r="C641" s="1" t="n">
        <v>46197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SCA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16542-2025</t>
        </is>
      </c>
      <c r="B642" s="1" t="n">
        <v>45751</v>
      </c>
      <c r="C642" s="1" t="n">
        <v>46197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34098-2023</t>
        </is>
      </c>
      <c r="B643" s="1" t="n">
        <v>45135</v>
      </c>
      <c r="C643" s="1" t="n">
        <v>46197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3212-2024</t>
        </is>
      </c>
      <c r="B644" s="1" t="n">
        <v>45316</v>
      </c>
      <c r="C644" s="1" t="n">
        <v>46197</v>
      </c>
      <c r="D644" t="inlineStr">
        <is>
          <t>VÄSTERBOTTENS LÄN</t>
        </is>
      </c>
      <c r="E644" t="inlineStr">
        <is>
          <t>VINDELN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55427-2023</t>
        </is>
      </c>
      <c r="B645" s="1" t="n">
        <v>45238</v>
      </c>
      <c r="C645" s="1" t="n">
        <v>46197</v>
      </c>
      <c r="D645" t="inlineStr">
        <is>
          <t>VÄSTERBOTTENS LÄN</t>
        </is>
      </c>
      <c r="E645" t="inlineStr">
        <is>
          <t>VINDELN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21098-2023</t>
        </is>
      </c>
      <c r="B646" s="1" t="n">
        <v>45061</v>
      </c>
      <c r="C646" s="1" t="n">
        <v>46197</v>
      </c>
      <c r="D646" t="inlineStr">
        <is>
          <t>VÄSTERBOTTENS LÄN</t>
        </is>
      </c>
      <c r="E646" t="inlineStr">
        <is>
          <t>VINDELN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53640-2023</t>
        </is>
      </c>
      <c r="B647" s="1" t="n">
        <v>45230</v>
      </c>
      <c r="C647" s="1" t="n">
        <v>46197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Sveaskog</t>
        </is>
      </c>
      <c r="G647" t="n">
        <v>15.5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4568-2024</t>
        </is>
      </c>
      <c r="B648" s="1" t="n">
        <v>45327</v>
      </c>
      <c r="C648" s="1" t="n">
        <v>46197</v>
      </c>
      <c r="D648" t="inlineStr">
        <is>
          <t>VÄSTERBOTTENS LÄN</t>
        </is>
      </c>
      <c r="E648" t="inlineStr">
        <is>
          <t>VINDELN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23435-2024</t>
        </is>
      </c>
      <c r="B649" s="1" t="n">
        <v>45453</v>
      </c>
      <c r="C649" s="1" t="n">
        <v>46197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Sveaskog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8954-2023</t>
        </is>
      </c>
      <c r="B650" s="1" t="n">
        <v>44974</v>
      </c>
      <c r="C650" s="1" t="n">
        <v>46197</v>
      </c>
      <c r="D650" t="inlineStr">
        <is>
          <t>VÄSTERBOTTENS LÄN</t>
        </is>
      </c>
      <c r="E650" t="inlineStr">
        <is>
          <t>VINDELN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26712-2026</t>
        </is>
      </c>
      <c r="B651" s="1" t="n">
        <v>46184</v>
      </c>
      <c r="C651" s="1" t="n">
        <v>46197</v>
      </c>
      <c r="D651" t="inlineStr">
        <is>
          <t>VÄSTERBOTTENS LÄN</t>
        </is>
      </c>
      <c r="E651" t="inlineStr">
        <is>
          <t>VINDELN</t>
        </is>
      </c>
      <c r="F651" t="inlineStr">
        <is>
          <t>Naturvårdsverket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32232-2024</t>
        </is>
      </c>
      <c r="B652" s="1" t="n">
        <v>45511</v>
      </c>
      <c r="C652" s="1" t="n">
        <v>46197</v>
      </c>
      <c r="D652" t="inlineStr">
        <is>
          <t>VÄSTERBOTTENS LÄN</t>
        </is>
      </c>
      <c r="E652" t="inlineStr">
        <is>
          <t>VINDELN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2100-2024</t>
        </is>
      </c>
      <c r="B653" s="1" t="n">
        <v>45309</v>
      </c>
      <c r="C653" s="1" t="n">
        <v>46197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9.5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38987-2023</t>
        </is>
      </c>
      <c r="B654" s="1" t="n">
        <v>45163</v>
      </c>
      <c r="C654" s="1" t="n">
        <v>46197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59609-2023</t>
        </is>
      </c>
      <c r="B655" s="1" t="n">
        <v>45254</v>
      </c>
      <c r="C655" s="1" t="n">
        <v>46197</v>
      </c>
      <c r="D655" t="inlineStr">
        <is>
          <t>VÄSTERBOTTENS LÄN</t>
        </is>
      </c>
      <c r="E655" t="inlineStr">
        <is>
          <t>VINDELN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37211-2024</t>
        </is>
      </c>
      <c r="B656" s="1" t="n">
        <v>45539</v>
      </c>
      <c r="C656" s="1" t="n">
        <v>46197</v>
      </c>
      <c r="D656" t="inlineStr">
        <is>
          <t>VÄSTERBOTTENS LÄN</t>
        </is>
      </c>
      <c r="E656" t="inlineStr">
        <is>
          <t>VINDELN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58350-2023</t>
        </is>
      </c>
      <c r="B657" s="1" t="n">
        <v>45250</v>
      </c>
      <c r="C657" s="1" t="n">
        <v>46197</v>
      </c>
      <c r="D657" t="inlineStr">
        <is>
          <t>VÄSTERBOTTENS LÄN</t>
        </is>
      </c>
      <c r="E657" t="inlineStr">
        <is>
          <t>VINDELN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28987-2022</t>
        </is>
      </c>
      <c r="B658" s="1" t="n">
        <v>44749</v>
      </c>
      <c r="C658" s="1" t="n">
        <v>46197</v>
      </c>
      <c r="D658" t="inlineStr">
        <is>
          <t>VÄSTERBOTTENS LÄN</t>
        </is>
      </c>
      <c r="E658" t="inlineStr">
        <is>
          <t>VINDELN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54019-2024</t>
        </is>
      </c>
      <c r="B659" s="1" t="n">
        <v>45616</v>
      </c>
      <c r="C659" s="1" t="n">
        <v>46197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56640-2023</t>
        </is>
      </c>
      <c r="B660" s="1" t="n">
        <v>45243</v>
      </c>
      <c r="C660" s="1" t="n">
        <v>46197</v>
      </c>
      <c r="D660" t="inlineStr">
        <is>
          <t>VÄSTERBOTTENS LÄN</t>
        </is>
      </c>
      <c r="E660" t="inlineStr">
        <is>
          <t>VINDELN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25387-2024</t>
        </is>
      </c>
      <c r="B661" s="1" t="n">
        <v>45462</v>
      </c>
      <c r="C661" s="1" t="n">
        <v>46197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SCA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62729-2022</t>
        </is>
      </c>
      <c r="B662" s="1" t="n">
        <v>44925</v>
      </c>
      <c r="C662" s="1" t="n">
        <v>46197</v>
      </c>
      <c r="D662" t="inlineStr">
        <is>
          <t>VÄSTERBOTTENS LÄN</t>
        </is>
      </c>
      <c r="E662" t="inlineStr">
        <is>
          <t>VINDELN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27299-2026</t>
        </is>
      </c>
      <c r="B663" s="1" t="n">
        <v>46188</v>
      </c>
      <c r="C663" s="1" t="n">
        <v>46197</v>
      </c>
      <c r="D663" t="inlineStr">
        <is>
          <t>VÄSTERBOTTENS LÄN</t>
        </is>
      </c>
      <c r="E663" t="inlineStr">
        <is>
          <t>VINDELN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54786-2023</t>
        </is>
      </c>
      <c r="B664" s="1" t="n">
        <v>45229</v>
      </c>
      <c r="C664" s="1" t="n">
        <v>46197</v>
      </c>
      <c r="D664" t="inlineStr">
        <is>
          <t>VÄSTERBOTTENS LÄN</t>
        </is>
      </c>
      <c r="E664" t="inlineStr">
        <is>
          <t>VINDELN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27020-2026</t>
        </is>
      </c>
      <c r="B665" s="1" t="n">
        <v>46185</v>
      </c>
      <c r="C665" s="1" t="n">
        <v>46197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Sveaskog</t>
        </is>
      </c>
      <c r="G665" t="n">
        <v>17.9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29651-2024</t>
        </is>
      </c>
      <c r="B666" s="1" t="n">
        <v>45484</v>
      </c>
      <c r="C666" s="1" t="n">
        <v>46197</v>
      </c>
      <c r="D666" t="inlineStr">
        <is>
          <t>VÄSTERBOTTENS LÄN</t>
        </is>
      </c>
      <c r="E666" t="inlineStr">
        <is>
          <t>VINDELN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27008-2026</t>
        </is>
      </c>
      <c r="B667" s="1" t="n">
        <v>46185</v>
      </c>
      <c r="C667" s="1" t="n">
        <v>46197</v>
      </c>
      <c r="D667" t="inlineStr">
        <is>
          <t>VÄSTERBOTTENS LÄN</t>
        </is>
      </c>
      <c r="E667" t="inlineStr">
        <is>
          <t>VINDELN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27017-2026</t>
        </is>
      </c>
      <c r="B668" s="1" t="n">
        <v>46185</v>
      </c>
      <c r="C668" s="1" t="n">
        <v>46197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23.9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15613-2025</t>
        </is>
      </c>
      <c r="B669" s="1" t="n">
        <v>45748</v>
      </c>
      <c r="C669" s="1" t="n">
        <v>46197</v>
      </c>
      <c r="D669" t="inlineStr">
        <is>
          <t>VÄSTERBOTTENS LÄN</t>
        </is>
      </c>
      <c r="E669" t="inlineStr">
        <is>
          <t>VINDELN</t>
        </is>
      </c>
      <c r="F669" t="inlineStr">
        <is>
          <t>Holmen skog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26834-2026</t>
        </is>
      </c>
      <c r="B670" s="1" t="n">
        <v>46185</v>
      </c>
      <c r="C670" s="1" t="n">
        <v>46197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18392-2022</t>
        </is>
      </c>
      <c r="B671" s="1" t="n">
        <v>44685</v>
      </c>
      <c r="C671" s="1" t="n">
        <v>46197</v>
      </c>
      <c r="D671" t="inlineStr">
        <is>
          <t>VÄSTERBOTTENS LÄN</t>
        </is>
      </c>
      <c r="E671" t="inlineStr">
        <is>
          <t>VINDELN</t>
        </is>
      </c>
      <c r="G671" t="n">
        <v>7.5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27064-2026</t>
        </is>
      </c>
      <c r="B672" s="1" t="n">
        <v>46185</v>
      </c>
      <c r="C672" s="1" t="n">
        <v>46197</v>
      </c>
      <c r="D672" t="inlineStr">
        <is>
          <t>VÄSTERBOTTENS LÄN</t>
        </is>
      </c>
      <c r="E672" t="inlineStr">
        <is>
          <t>VINDELN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26736-2026</t>
        </is>
      </c>
      <c r="B673" s="1" t="n">
        <v>46184</v>
      </c>
      <c r="C673" s="1" t="n">
        <v>46197</v>
      </c>
      <c r="D673" t="inlineStr">
        <is>
          <t>VÄSTERBOTTENS LÄN</t>
        </is>
      </c>
      <c r="E673" t="inlineStr">
        <is>
          <t>VINDELN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39022-2023</t>
        </is>
      </c>
      <c r="B674" s="1" t="n">
        <v>45163</v>
      </c>
      <c r="C674" s="1" t="n">
        <v>46197</v>
      </c>
      <c r="D674" t="inlineStr">
        <is>
          <t>VÄSTERBOTTENS LÄN</t>
        </is>
      </c>
      <c r="E674" t="inlineStr">
        <is>
          <t>VINDELN</t>
        </is>
      </c>
      <c r="G674" t="n">
        <v>7.9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21397-2026</t>
        </is>
      </c>
      <c r="B675" s="1" t="n">
        <v>46148</v>
      </c>
      <c r="C675" s="1" t="n">
        <v>46197</v>
      </c>
      <c r="D675" t="inlineStr">
        <is>
          <t>VÄSTERBOTTENS LÄN</t>
        </is>
      </c>
      <c r="E675" t="inlineStr">
        <is>
          <t>VINDELN</t>
        </is>
      </c>
      <c r="F675" t="inlineStr">
        <is>
          <t>Holmen skog AB</t>
        </is>
      </c>
      <c r="G675" t="n">
        <v>16.3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27417-2026</t>
        </is>
      </c>
      <c r="B676" s="1" t="n">
        <v>46189</v>
      </c>
      <c r="C676" s="1" t="n">
        <v>46197</v>
      </c>
      <c r="D676" t="inlineStr">
        <is>
          <t>VÄSTERBOTTENS LÄN</t>
        </is>
      </c>
      <c r="E676" t="inlineStr">
        <is>
          <t>VINDELN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35925-2023</t>
        </is>
      </c>
      <c r="B677" s="1" t="n">
        <v>45148</v>
      </c>
      <c r="C677" s="1" t="n">
        <v>46197</v>
      </c>
      <c r="D677" t="inlineStr">
        <is>
          <t>VÄSTERBOTTENS LÄN</t>
        </is>
      </c>
      <c r="E677" t="inlineStr">
        <is>
          <t>VINDELN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14239-2025</t>
        </is>
      </c>
      <c r="B678" s="1" t="n">
        <v>45740</v>
      </c>
      <c r="C678" s="1" t="n">
        <v>46197</v>
      </c>
      <c r="D678" t="inlineStr">
        <is>
          <t>VÄSTERBOTTENS LÄN</t>
        </is>
      </c>
      <c r="E678" t="inlineStr">
        <is>
          <t>VINDELN</t>
        </is>
      </c>
      <c r="G678" t="n">
        <v>12.2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24264-2026</t>
        </is>
      </c>
      <c r="B679" s="1" t="n">
        <v>46169</v>
      </c>
      <c r="C679" s="1" t="n">
        <v>46197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SCA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27444-2026</t>
        </is>
      </c>
      <c r="B680" s="1" t="n">
        <v>46189</v>
      </c>
      <c r="C680" s="1" t="n">
        <v>46197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SCA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48138-2024</t>
        </is>
      </c>
      <c r="B681" s="1" t="n">
        <v>45589</v>
      </c>
      <c r="C681" s="1" t="n">
        <v>46197</v>
      </c>
      <c r="D681" t="inlineStr">
        <is>
          <t>VÄSTERBOTTENS LÄN</t>
        </is>
      </c>
      <c r="E681" t="inlineStr">
        <is>
          <t>VINDELN</t>
        </is>
      </c>
      <c r="F681" t="inlineStr">
        <is>
          <t>Holmen skog AB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20681-2024</t>
        </is>
      </c>
      <c r="B682" s="1" t="n">
        <v>45436</v>
      </c>
      <c r="C682" s="1" t="n">
        <v>46197</v>
      </c>
      <c r="D682" t="inlineStr">
        <is>
          <t>VÄSTERBOTTENS LÄN</t>
        </is>
      </c>
      <c r="E682" t="inlineStr">
        <is>
          <t>VINDELN</t>
        </is>
      </c>
      <c r="G682" t="n">
        <v>8.800000000000001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58554-2024</t>
        </is>
      </c>
      <c r="B683" s="1" t="n">
        <v>45635</v>
      </c>
      <c r="C683" s="1" t="n">
        <v>46197</v>
      </c>
      <c r="D683" t="inlineStr">
        <is>
          <t>VÄSTERBOTTENS LÄN</t>
        </is>
      </c>
      <c r="E683" t="inlineStr">
        <is>
          <t>VINDELN</t>
        </is>
      </c>
      <c r="F683" t="inlineStr">
        <is>
          <t>Holmen skog AB</t>
        </is>
      </c>
      <c r="G683" t="n">
        <v>9.5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4379-2024</t>
        </is>
      </c>
      <c r="B684" s="1" t="n">
        <v>45326</v>
      </c>
      <c r="C684" s="1" t="n">
        <v>46197</v>
      </c>
      <c r="D684" t="inlineStr">
        <is>
          <t>VÄSTERBOTTENS LÄN</t>
        </is>
      </c>
      <c r="E684" t="inlineStr">
        <is>
          <t>VINDELN</t>
        </is>
      </c>
      <c r="F684" t="inlineStr">
        <is>
          <t>Holmen skog AB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13835-2024</t>
        </is>
      </c>
      <c r="B685" s="1" t="n">
        <v>45390</v>
      </c>
      <c r="C685" s="1" t="n">
        <v>46197</v>
      </c>
      <c r="D685" t="inlineStr">
        <is>
          <t>VÄSTERBOTTENS LÄN</t>
        </is>
      </c>
      <c r="E685" t="inlineStr">
        <is>
          <t>VINDELN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16002-2024</t>
        </is>
      </c>
      <c r="B686" s="1" t="n">
        <v>45405</v>
      </c>
      <c r="C686" s="1" t="n">
        <v>46197</v>
      </c>
      <c r="D686" t="inlineStr">
        <is>
          <t>VÄSTERBOTTENS LÄN</t>
        </is>
      </c>
      <c r="E686" t="inlineStr">
        <is>
          <t>VINDELN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28264-2026</t>
        </is>
      </c>
      <c r="B687" s="1" t="n">
        <v>46196</v>
      </c>
      <c r="C687" s="1" t="n">
        <v>46197</v>
      </c>
      <c r="D687" t="inlineStr">
        <is>
          <t>VÄSTERBOTTENS LÄN</t>
        </is>
      </c>
      <c r="E687" t="inlineStr">
        <is>
          <t>VINDELN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33745-2024</t>
        </is>
      </c>
      <c r="B688" s="1" t="n">
        <v>45520</v>
      </c>
      <c r="C688" s="1" t="n">
        <v>46197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41455-2024</t>
        </is>
      </c>
      <c r="B689" s="1" t="n">
        <v>45560</v>
      </c>
      <c r="C689" s="1" t="n">
        <v>46197</v>
      </c>
      <c r="D689" t="inlineStr">
        <is>
          <t>VÄSTERBOTTENS LÄN</t>
        </is>
      </c>
      <c r="E689" t="inlineStr">
        <is>
          <t>VINDELN</t>
        </is>
      </c>
      <c r="F689" t="inlineStr">
        <is>
          <t>Holmen skog AB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41462-2024</t>
        </is>
      </c>
      <c r="B690" s="1" t="n">
        <v>45560</v>
      </c>
      <c r="C690" s="1" t="n">
        <v>46197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Sveaskog</t>
        </is>
      </c>
      <c r="G690" t="n">
        <v>11.7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61396-2022</t>
        </is>
      </c>
      <c r="B691" s="1" t="n">
        <v>44915</v>
      </c>
      <c r="C691" s="1" t="n">
        <v>46197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SCA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28201-2026</t>
        </is>
      </c>
      <c r="B692" s="1" t="n">
        <v>46196</v>
      </c>
      <c r="C692" s="1" t="n">
        <v>46197</v>
      </c>
      <c r="D692" t="inlineStr">
        <is>
          <t>VÄSTERBOTTENS LÄN</t>
        </is>
      </c>
      <c r="E692" t="inlineStr">
        <is>
          <t>VINDELN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62714-2022</t>
        </is>
      </c>
      <c r="B693" s="1" t="n">
        <v>44925</v>
      </c>
      <c r="C693" s="1" t="n">
        <v>46197</v>
      </c>
      <c r="D693" t="inlineStr">
        <is>
          <t>VÄSTERBOTTENS LÄN</t>
        </is>
      </c>
      <c r="E693" t="inlineStr">
        <is>
          <t>VINDELN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62718-2022</t>
        </is>
      </c>
      <c r="B694" s="1" t="n">
        <v>44925</v>
      </c>
      <c r="C694" s="1" t="n">
        <v>46197</v>
      </c>
      <c r="D694" t="inlineStr">
        <is>
          <t>VÄSTERBOTTENS LÄN</t>
        </is>
      </c>
      <c r="E694" t="inlineStr">
        <is>
          <t>VINDELN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28284-2026</t>
        </is>
      </c>
      <c r="B695" s="1" t="n">
        <v>46196</v>
      </c>
      <c r="C695" s="1" t="n">
        <v>46197</v>
      </c>
      <c r="D695" t="inlineStr">
        <is>
          <t>VÄSTERBOTTENS LÄN</t>
        </is>
      </c>
      <c r="E695" t="inlineStr">
        <is>
          <t>VINDELN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28200-2026</t>
        </is>
      </c>
      <c r="B696" s="1" t="n">
        <v>46196</v>
      </c>
      <c r="C696" s="1" t="n">
        <v>46197</v>
      </c>
      <c r="D696" t="inlineStr">
        <is>
          <t>VÄSTERBOTTENS LÄN</t>
        </is>
      </c>
      <c r="E696" t="inlineStr">
        <is>
          <t>VINDELN</t>
        </is>
      </c>
      <c r="G696" t="n">
        <v>6.6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22216-2026</t>
        </is>
      </c>
      <c r="B697" s="1" t="n">
        <v>46153</v>
      </c>
      <c r="C697" s="1" t="n">
        <v>46197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7.5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5368-2024</t>
        </is>
      </c>
      <c r="B698" s="1" t="n">
        <v>45331</v>
      </c>
      <c r="C698" s="1" t="n">
        <v>46197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Sveaskog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28204-2026</t>
        </is>
      </c>
      <c r="B699" s="1" t="n">
        <v>46196</v>
      </c>
      <c r="C699" s="1" t="n">
        <v>46197</v>
      </c>
      <c r="D699" t="inlineStr">
        <is>
          <t>VÄSTERBOTTENS LÄN</t>
        </is>
      </c>
      <c r="E699" t="inlineStr">
        <is>
          <t>VINDELN</t>
        </is>
      </c>
      <c r="G699" t="n">
        <v>11.1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28153-2026</t>
        </is>
      </c>
      <c r="B700" s="1" t="n">
        <v>46195</v>
      </c>
      <c r="C700" s="1" t="n">
        <v>46197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27965-2026</t>
        </is>
      </c>
      <c r="B701" s="1" t="n">
        <v>46195</v>
      </c>
      <c r="C701" s="1" t="n">
        <v>46197</v>
      </c>
      <c r="D701" t="inlineStr">
        <is>
          <t>VÄSTERBOTTENS LÄN</t>
        </is>
      </c>
      <c r="E701" t="inlineStr">
        <is>
          <t>VINDELN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28187-2026</t>
        </is>
      </c>
      <c r="B702" s="1" t="n">
        <v>46195</v>
      </c>
      <c r="C702" s="1" t="n">
        <v>46197</v>
      </c>
      <c r="D702" t="inlineStr">
        <is>
          <t>VÄSTERBOTTENS LÄN</t>
        </is>
      </c>
      <c r="E702" t="inlineStr">
        <is>
          <t>VINDELN</t>
        </is>
      </c>
      <c r="F702" t="inlineStr">
        <is>
          <t>Holmen skog AB</t>
        </is>
      </c>
      <c r="G702" t="n">
        <v>8.4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28198-2026</t>
        </is>
      </c>
      <c r="B703" s="1" t="n">
        <v>46196</v>
      </c>
      <c r="C703" s="1" t="n">
        <v>46197</v>
      </c>
      <c r="D703" t="inlineStr">
        <is>
          <t>VÄSTERBOTTENS LÄN</t>
        </is>
      </c>
      <c r="E703" t="inlineStr">
        <is>
          <t>VINDELN</t>
        </is>
      </c>
      <c r="G703" t="n">
        <v>22.2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28120-2026</t>
        </is>
      </c>
      <c r="B704" s="1" t="n">
        <v>46195</v>
      </c>
      <c r="C704" s="1" t="n">
        <v>46197</v>
      </c>
      <c r="D704" t="inlineStr">
        <is>
          <t>VÄSTERBOTTENS LÄN</t>
        </is>
      </c>
      <c r="E704" t="inlineStr">
        <is>
          <t>VINDELN</t>
        </is>
      </c>
      <c r="F704" t="inlineStr">
        <is>
          <t>Holmen skog AB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61858-2022</t>
        </is>
      </c>
      <c r="B705" s="1" t="n">
        <v>44917</v>
      </c>
      <c r="C705" s="1" t="n">
        <v>46197</v>
      </c>
      <c r="D705" t="inlineStr">
        <is>
          <t>VÄSTERBOTTENS LÄN</t>
        </is>
      </c>
      <c r="E705" t="inlineStr">
        <is>
          <t>VINDELN</t>
        </is>
      </c>
      <c r="G705" t="n">
        <v>6.8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41663-2024</t>
        </is>
      </c>
      <c r="B706" s="1" t="n">
        <v>45560</v>
      </c>
      <c r="C706" s="1" t="n">
        <v>46197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Sveaskog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41695-2024</t>
        </is>
      </c>
      <c r="B707" s="1" t="n">
        <v>45560</v>
      </c>
      <c r="C707" s="1" t="n">
        <v>46197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Sveaskog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57819-2023</t>
        </is>
      </c>
      <c r="B708" s="1" t="n">
        <v>45244</v>
      </c>
      <c r="C708" s="1" t="n">
        <v>46197</v>
      </c>
      <c r="D708" t="inlineStr">
        <is>
          <t>VÄSTERBOTTENS LÄN</t>
        </is>
      </c>
      <c r="E708" t="inlineStr">
        <is>
          <t>VINDELN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37387-2024</t>
        </is>
      </c>
      <c r="B709" s="1" t="n">
        <v>45540</v>
      </c>
      <c r="C709" s="1" t="n">
        <v>46197</v>
      </c>
      <c r="D709" t="inlineStr">
        <is>
          <t>VÄSTERBOTTENS LÄN</t>
        </is>
      </c>
      <c r="E709" t="inlineStr">
        <is>
          <t>VINDELN</t>
        </is>
      </c>
      <c r="F709" t="inlineStr">
        <is>
          <t>Holmen skog AB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49582-2024</t>
        </is>
      </c>
      <c r="B710" s="1" t="n">
        <v>45596</v>
      </c>
      <c r="C710" s="1" t="n">
        <v>46197</v>
      </c>
      <c r="D710" t="inlineStr">
        <is>
          <t>VÄSTERBOTTENS LÄN</t>
        </is>
      </c>
      <c r="E710" t="inlineStr">
        <is>
          <t>VINDELN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49583-2024</t>
        </is>
      </c>
      <c r="B711" s="1" t="n">
        <v>45596</v>
      </c>
      <c r="C711" s="1" t="n">
        <v>46197</v>
      </c>
      <c r="D711" t="inlineStr">
        <is>
          <t>VÄSTERBOTTENS LÄN</t>
        </is>
      </c>
      <c r="E711" t="inlineStr">
        <is>
          <t>VINDELN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55414-2024</t>
        </is>
      </c>
      <c r="B712" s="1" t="n">
        <v>45622</v>
      </c>
      <c r="C712" s="1" t="n">
        <v>46197</v>
      </c>
      <c r="D712" t="inlineStr">
        <is>
          <t>VÄSTERBOTTENS LÄN</t>
        </is>
      </c>
      <c r="E712" t="inlineStr">
        <is>
          <t>VINDELN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25656-2024</t>
        </is>
      </c>
      <c r="B713" s="1" t="n">
        <v>45463</v>
      </c>
      <c r="C713" s="1" t="n">
        <v>46197</v>
      </c>
      <c r="D713" t="inlineStr">
        <is>
          <t>VÄSTERBOTTENS LÄN</t>
        </is>
      </c>
      <c r="E713" t="inlineStr">
        <is>
          <t>VINDELN</t>
        </is>
      </c>
      <c r="F713" t="inlineStr">
        <is>
          <t>Holmen skog AB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58660-2023</t>
        </is>
      </c>
      <c r="B714" s="1" t="n">
        <v>45251</v>
      </c>
      <c r="C714" s="1" t="n">
        <v>46197</v>
      </c>
      <c r="D714" t="inlineStr">
        <is>
          <t>VÄSTERBOTTENS LÄN</t>
        </is>
      </c>
      <c r="E714" t="inlineStr">
        <is>
          <t>VINDELN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12837-2023</t>
        </is>
      </c>
      <c r="B715" s="1" t="n">
        <v>45001</v>
      </c>
      <c r="C715" s="1" t="n">
        <v>46197</v>
      </c>
      <c r="D715" t="inlineStr">
        <is>
          <t>VÄSTERBOTTENS LÄN</t>
        </is>
      </c>
      <c r="E715" t="inlineStr">
        <is>
          <t>VINDELN</t>
        </is>
      </c>
      <c r="F715" t="inlineStr">
        <is>
          <t>Holmen skog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57076-2022</t>
        </is>
      </c>
      <c r="B716" s="1" t="n">
        <v>44889</v>
      </c>
      <c r="C716" s="1" t="n">
        <v>46197</v>
      </c>
      <c r="D716" t="inlineStr">
        <is>
          <t>VÄSTERBOTTENS LÄN</t>
        </is>
      </c>
      <c r="E716" t="inlineStr">
        <is>
          <t>VINDELN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28825-2023</t>
        </is>
      </c>
      <c r="B717" s="1" t="n">
        <v>45104</v>
      </c>
      <c r="C717" s="1" t="n">
        <v>46197</v>
      </c>
      <c r="D717" t="inlineStr">
        <is>
          <t>VÄSTERBOTTENS LÄN</t>
        </is>
      </c>
      <c r="E717" t="inlineStr">
        <is>
          <t>VINDELN</t>
        </is>
      </c>
      <c r="F717" t="inlineStr">
        <is>
          <t>Holmen skog AB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15295-2022</t>
        </is>
      </c>
      <c r="B718" s="1" t="n">
        <v>44659</v>
      </c>
      <c r="C718" s="1" t="n">
        <v>46197</v>
      </c>
      <c r="D718" t="inlineStr">
        <is>
          <t>VÄSTERBOTTENS LÄN</t>
        </is>
      </c>
      <c r="E718" t="inlineStr">
        <is>
          <t>VINDELN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6436-2024</t>
        </is>
      </c>
      <c r="B719" s="1" t="n">
        <v>45338</v>
      </c>
      <c r="C719" s="1" t="n">
        <v>46197</v>
      </c>
      <c r="D719" t="inlineStr">
        <is>
          <t>VÄSTERBOTTENS LÄN</t>
        </is>
      </c>
      <c r="E719" t="inlineStr">
        <is>
          <t>VINDELN</t>
        </is>
      </c>
      <c r="G719" t="n">
        <v>17.6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40964-2024</t>
        </is>
      </c>
      <c r="B720" s="1" t="n">
        <v>45558</v>
      </c>
      <c r="C720" s="1" t="n">
        <v>46197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58699-2022</t>
        </is>
      </c>
      <c r="B721" s="1" t="n">
        <v>44902</v>
      </c>
      <c r="C721" s="1" t="n">
        <v>46197</v>
      </c>
      <c r="D721" t="inlineStr">
        <is>
          <t>VÄSTERBOTTENS LÄN</t>
        </is>
      </c>
      <c r="E721" t="inlineStr">
        <is>
          <t>VINDELN</t>
        </is>
      </c>
      <c r="G721" t="n">
        <v>14.2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42015-2023</t>
        </is>
      </c>
      <c r="B722" s="1" t="n">
        <v>45174</v>
      </c>
      <c r="C722" s="1" t="n">
        <v>46197</v>
      </c>
      <c r="D722" t="inlineStr">
        <is>
          <t>VÄSTERBOTTENS LÄN</t>
        </is>
      </c>
      <c r="E722" t="inlineStr">
        <is>
          <t>VINDELN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41441-2024</t>
        </is>
      </c>
      <c r="B723" s="1" t="n">
        <v>45560</v>
      </c>
      <c r="C723" s="1" t="n">
        <v>46197</v>
      </c>
      <c r="D723" t="inlineStr">
        <is>
          <t>VÄSTERBOTTENS LÄN</t>
        </is>
      </c>
      <c r="E723" t="inlineStr">
        <is>
          <t>VINDELN</t>
        </is>
      </c>
      <c r="F723" t="inlineStr">
        <is>
          <t>Holmen skog AB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33764-2024</t>
        </is>
      </c>
      <c r="B724" s="1" t="n">
        <v>45520</v>
      </c>
      <c r="C724" s="1" t="n">
        <v>46197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13439-2024</t>
        </is>
      </c>
      <c r="B725" s="1" t="n">
        <v>45387</v>
      </c>
      <c r="C725" s="1" t="n">
        <v>46197</v>
      </c>
      <c r="D725" t="inlineStr">
        <is>
          <t>VÄSTERBOTTENS LÄN</t>
        </is>
      </c>
      <c r="E725" t="inlineStr">
        <is>
          <t>VINDELN</t>
        </is>
      </c>
      <c r="F725" t="inlineStr">
        <is>
          <t>Holmen skog AB</t>
        </is>
      </c>
      <c r="G725" t="n">
        <v>6.4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36268-2023</t>
        </is>
      </c>
      <c r="B726" s="1" t="n">
        <v>45151</v>
      </c>
      <c r="C726" s="1" t="n">
        <v>46197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49275-2023</t>
        </is>
      </c>
      <c r="B727" s="1" t="n">
        <v>45210</v>
      </c>
      <c r="C727" s="1" t="n">
        <v>46197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Sveaskog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42409-2024</t>
        </is>
      </c>
      <c r="B728" s="1" t="n">
        <v>45565</v>
      </c>
      <c r="C728" s="1" t="n">
        <v>46197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41454-2023</t>
        </is>
      </c>
      <c r="B729" s="1" t="n">
        <v>45175</v>
      </c>
      <c r="C729" s="1" t="n">
        <v>46197</v>
      </c>
      <c r="D729" t="inlineStr">
        <is>
          <t>VÄSTERBOTTENS LÄN</t>
        </is>
      </c>
      <c r="E729" t="inlineStr">
        <is>
          <t>VINDELN</t>
        </is>
      </c>
      <c r="F729" t="inlineStr">
        <is>
          <t>Naturvårdsverket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4222-2025</t>
        </is>
      </c>
      <c r="B730" s="1" t="n">
        <v>45685</v>
      </c>
      <c r="C730" s="1" t="n">
        <v>46197</v>
      </c>
      <c r="D730" t="inlineStr">
        <is>
          <t>VÄSTERBOTTENS LÄN</t>
        </is>
      </c>
      <c r="E730" t="inlineStr">
        <is>
          <t>VINDELN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20574-2023</t>
        </is>
      </c>
      <c r="B731" s="1" t="n">
        <v>45057</v>
      </c>
      <c r="C731" s="1" t="n">
        <v>46197</v>
      </c>
      <c r="D731" t="inlineStr">
        <is>
          <t>VÄSTERBOTTENS LÄN</t>
        </is>
      </c>
      <c r="E731" t="inlineStr">
        <is>
          <t>VINDELN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50278-2024</t>
        </is>
      </c>
      <c r="B732" s="1" t="n">
        <v>45600</v>
      </c>
      <c r="C732" s="1" t="n">
        <v>46197</v>
      </c>
      <c r="D732" t="inlineStr">
        <is>
          <t>VÄSTERBOTTENS LÄN</t>
        </is>
      </c>
      <c r="E732" t="inlineStr">
        <is>
          <t>VINDELN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3885-2025</t>
        </is>
      </c>
      <c r="B733" s="1" t="n">
        <v>45684</v>
      </c>
      <c r="C733" s="1" t="n">
        <v>46197</v>
      </c>
      <c r="D733" t="inlineStr">
        <is>
          <t>VÄSTERBOTTENS LÄN</t>
        </is>
      </c>
      <c r="E733" t="inlineStr">
        <is>
          <t>VINDELN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35921-2023</t>
        </is>
      </c>
      <c r="B734" s="1" t="n">
        <v>45148</v>
      </c>
      <c r="C734" s="1" t="n">
        <v>46197</v>
      </c>
      <c r="D734" t="inlineStr">
        <is>
          <t>VÄSTERBOTTENS LÄN</t>
        </is>
      </c>
      <c r="E734" t="inlineStr">
        <is>
          <t>VINDELN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4004-2025</t>
        </is>
      </c>
      <c r="B735" s="1" t="n">
        <v>45684</v>
      </c>
      <c r="C735" s="1" t="n">
        <v>46197</v>
      </c>
      <c r="D735" t="inlineStr">
        <is>
          <t>VÄSTERBOTTENS LÄN</t>
        </is>
      </c>
      <c r="E735" t="inlineStr">
        <is>
          <t>VINDELN</t>
        </is>
      </c>
      <c r="F735" t="inlineStr">
        <is>
          <t>SCA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44734-2022</t>
        </is>
      </c>
      <c r="B736" s="1" t="n">
        <v>44840</v>
      </c>
      <c r="C736" s="1" t="n">
        <v>46197</v>
      </c>
      <c r="D736" t="inlineStr">
        <is>
          <t>VÄSTERBOTTENS LÄN</t>
        </is>
      </c>
      <c r="E736" t="inlineStr">
        <is>
          <t>VINDELN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23523-2024</t>
        </is>
      </c>
      <c r="B737" s="1" t="n">
        <v>45453</v>
      </c>
      <c r="C737" s="1" t="n">
        <v>46197</v>
      </c>
      <c r="D737" t="inlineStr">
        <is>
          <t>VÄSTERBOTTENS LÄN</t>
        </is>
      </c>
      <c r="E737" t="inlineStr">
        <is>
          <t>VINDELN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61586-2024</t>
        </is>
      </c>
      <c r="B738" s="1" t="n">
        <v>45646</v>
      </c>
      <c r="C738" s="1" t="n">
        <v>46197</v>
      </c>
      <c r="D738" t="inlineStr">
        <is>
          <t>VÄSTERBOTTENS LÄN</t>
        </is>
      </c>
      <c r="E738" t="inlineStr">
        <is>
          <t>VINDELN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20390-2025</t>
        </is>
      </c>
      <c r="B739" s="1" t="n">
        <v>45775</v>
      </c>
      <c r="C739" s="1" t="n">
        <v>46197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SCA</t>
        </is>
      </c>
      <c r="G739" t="n">
        <v>8.300000000000001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58579-2022</t>
        </is>
      </c>
      <c r="B740" s="1" t="n">
        <v>44902</v>
      </c>
      <c r="C740" s="1" t="n">
        <v>46197</v>
      </c>
      <c r="D740" t="inlineStr">
        <is>
          <t>VÄSTERBOTTENS LÄN</t>
        </is>
      </c>
      <c r="E740" t="inlineStr">
        <is>
          <t>VINDELN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41109-2024</t>
        </is>
      </c>
      <c r="B741" s="1" t="n">
        <v>45559</v>
      </c>
      <c r="C741" s="1" t="n">
        <v>46197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Sveaskog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33753-2024</t>
        </is>
      </c>
      <c r="B742" s="1" t="n">
        <v>45520</v>
      </c>
      <c r="C742" s="1" t="n">
        <v>46197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Sveaskog</t>
        </is>
      </c>
      <c r="G742" t="n">
        <v>14.1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50081-2022</t>
        </is>
      </c>
      <c r="B743" s="1" t="n">
        <v>44860</v>
      </c>
      <c r="C743" s="1" t="n">
        <v>46197</v>
      </c>
      <c r="D743" t="inlineStr">
        <is>
          <t>VÄSTERBOTTENS LÄN</t>
        </is>
      </c>
      <c r="E743" t="inlineStr">
        <is>
          <t>VINDELN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24817-2024</t>
        </is>
      </c>
      <c r="B744" s="1" t="n">
        <v>45460</v>
      </c>
      <c r="C744" s="1" t="n">
        <v>46197</v>
      </c>
      <c r="D744" t="inlineStr">
        <is>
          <t>VÄSTERBOTTENS LÄN</t>
        </is>
      </c>
      <c r="E744" t="inlineStr">
        <is>
          <t>VINDELN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74397-2021</t>
        </is>
      </c>
      <c r="B745" s="1" t="n">
        <v>44559</v>
      </c>
      <c r="C745" s="1" t="n">
        <v>46197</v>
      </c>
      <c r="D745" t="inlineStr">
        <is>
          <t>VÄSTERBOTTENS LÄN</t>
        </is>
      </c>
      <c r="E745" t="inlineStr">
        <is>
          <t>VINDELN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2704-2025</t>
        </is>
      </c>
      <c r="B746" s="1" t="n">
        <v>45677</v>
      </c>
      <c r="C746" s="1" t="n">
        <v>46197</v>
      </c>
      <c r="D746" t="inlineStr">
        <is>
          <t>VÄSTERBOTTENS LÄN</t>
        </is>
      </c>
      <c r="E746" t="inlineStr">
        <is>
          <t>VINDELN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29347-2023</t>
        </is>
      </c>
      <c r="B747" s="1" t="n">
        <v>45105</v>
      </c>
      <c r="C747" s="1" t="n">
        <v>46197</v>
      </c>
      <c r="D747" t="inlineStr">
        <is>
          <t>VÄSTERBOTTENS LÄN</t>
        </is>
      </c>
      <c r="E747" t="inlineStr">
        <is>
          <t>VINDELN</t>
        </is>
      </c>
      <c r="F747" t="inlineStr">
        <is>
          <t>SCA</t>
        </is>
      </c>
      <c r="G747" t="n">
        <v>9.4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56562-2024</t>
        </is>
      </c>
      <c r="B748" s="1" t="n">
        <v>45625</v>
      </c>
      <c r="C748" s="1" t="n">
        <v>46197</v>
      </c>
      <c r="D748" t="inlineStr">
        <is>
          <t>VÄSTERBOTTENS LÄN</t>
        </is>
      </c>
      <c r="E748" t="inlineStr">
        <is>
          <t>VINDELN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56789-2024</t>
        </is>
      </c>
      <c r="B749" s="1" t="n">
        <v>45628</v>
      </c>
      <c r="C749" s="1" t="n">
        <v>46197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54022-2024</t>
        </is>
      </c>
      <c r="B750" s="1" t="n">
        <v>45616</v>
      </c>
      <c r="C750" s="1" t="n">
        <v>46197</v>
      </c>
      <c r="D750" t="inlineStr">
        <is>
          <t>VÄSTERBOTTENS LÄN</t>
        </is>
      </c>
      <c r="E750" t="inlineStr">
        <is>
          <t>VINDELN</t>
        </is>
      </c>
      <c r="F750" t="inlineStr">
        <is>
          <t>Sveaskog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35293-2023</t>
        </is>
      </c>
      <c r="B751" s="1" t="n">
        <v>45145</v>
      </c>
      <c r="C751" s="1" t="n">
        <v>46197</v>
      </c>
      <c r="D751" t="inlineStr">
        <is>
          <t>VÄSTERBOTTENS LÄN</t>
        </is>
      </c>
      <c r="E751" t="inlineStr">
        <is>
          <t>VINDELN</t>
        </is>
      </c>
      <c r="F751" t="inlineStr">
        <is>
          <t>SCA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17845-2025</t>
        </is>
      </c>
      <c r="B752" s="1" t="n">
        <v>45758</v>
      </c>
      <c r="C752" s="1" t="n">
        <v>46197</v>
      </c>
      <c r="D752" t="inlineStr">
        <is>
          <t>VÄSTERBOTTENS LÄN</t>
        </is>
      </c>
      <c r="E752" t="inlineStr">
        <is>
          <t>VINDELN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62726-2022</t>
        </is>
      </c>
      <c r="B753" s="1" t="n">
        <v>44925</v>
      </c>
      <c r="C753" s="1" t="n">
        <v>46197</v>
      </c>
      <c r="D753" t="inlineStr">
        <is>
          <t>VÄSTERBOTTENS LÄN</t>
        </is>
      </c>
      <c r="E753" t="inlineStr">
        <is>
          <t>VINDELN</t>
        </is>
      </c>
      <c r="G753" t="n">
        <v>10.5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62727-2022</t>
        </is>
      </c>
      <c r="B754" s="1" t="n">
        <v>44925</v>
      </c>
      <c r="C754" s="1" t="n">
        <v>46197</v>
      </c>
      <c r="D754" t="inlineStr">
        <is>
          <t>VÄSTERBOTTENS LÄN</t>
        </is>
      </c>
      <c r="E754" t="inlineStr">
        <is>
          <t>VINDELN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62753-2022</t>
        </is>
      </c>
      <c r="B755" s="1" t="n">
        <v>44925</v>
      </c>
      <c r="C755" s="1" t="n">
        <v>46197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SCA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56447-2021</t>
        </is>
      </c>
      <c r="B756" s="1" t="n">
        <v>44479</v>
      </c>
      <c r="C756" s="1" t="n">
        <v>46197</v>
      </c>
      <c r="D756" t="inlineStr">
        <is>
          <t>VÄSTERBOTTENS LÄN</t>
        </is>
      </c>
      <c r="E756" t="inlineStr">
        <is>
          <t>VINDELN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61151-2023</t>
        </is>
      </c>
      <c r="B757" s="1" t="n">
        <v>45261</v>
      </c>
      <c r="C757" s="1" t="n">
        <v>46197</v>
      </c>
      <c r="D757" t="inlineStr">
        <is>
          <t>VÄSTERBOTTENS LÄN</t>
        </is>
      </c>
      <c r="E757" t="inlineStr">
        <is>
          <t>VINDELN</t>
        </is>
      </c>
      <c r="F757" t="inlineStr">
        <is>
          <t>SCA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4680-2024</t>
        </is>
      </c>
      <c r="B758" s="1" t="n">
        <v>45328</v>
      </c>
      <c r="C758" s="1" t="n">
        <v>46197</v>
      </c>
      <c r="D758" t="inlineStr">
        <is>
          <t>VÄSTERBOTTENS LÄN</t>
        </is>
      </c>
      <c r="E758" t="inlineStr">
        <is>
          <t>VINDELN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50077-2023</t>
        </is>
      </c>
      <c r="B759" s="1" t="n">
        <v>45215</v>
      </c>
      <c r="C759" s="1" t="n">
        <v>46197</v>
      </c>
      <c r="D759" t="inlineStr">
        <is>
          <t>VÄSTERBOTTENS LÄN</t>
        </is>
      </c>
      <c r="E759" t="inlineStr">
        <is>
          <t>VINDELN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41626-2024</t>
        </is>
      </c>
      <c r="B760" s="1" t="n">
        <v>45560</v>
      </c>
      <c r="C760" s="1" t="n">
        <v>46197</v>
      </c>
      <c r="D760" t="inlineStr">
        <is>
          <t>VÄSTERBOTTENS LÄN</t>
        </is>
      </c>
      <c r="E760" t="inlineStr">
        <is>
          <t>VINDELN</t>
        </is>
      </c>
      <c r="F760" t="inlineStr">
        <is>
          <t>Holmen skog AB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4366-2025</t>
        </is>
      </c>
      <c r="B761" s="1" t="n">
        <v>45686</v>
      </c>
      <c r="C761" s="1" t="n">
        <v>46197</v>
      </c>
      <c r="D761" t="inlineStr">
        <is>
          <t>VÄSTERBOTTENS LÄN</t>
        </is>
      </c>
      <c r="E761" t="inlineStr">
        <is>
          <t>VINDELN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22511-2023</t>
        </is>
      </c>
      <c r="B762" s="1" t="n">
        <v>45069</v>
      </c>
      <c r="C762" s="1" t="n">
        <v>46197</v>
      </c>
      <c r="D762" t="inlineStr">
        <is>
          <t>VÄSTERBOTTENS LÄN</t>
        </is>
      </c>
      <c r="E762" t="inlineStr">
        <is>
          <t>VINDELN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55988-2023</t>
        </is>
      </c>
      <c r="B763" s="1" t="n">
        <v>45240</v>
      </c>
      <c r="C763" s="1" t="n">
        <v>46197</v>
      </c>
      <c r="D763" t="inlineStr">
        <is>
          <t>VÄSTERBOTTENS LÄN</t>
        </is>
      </c>
      <c r="E763" t="inlineStr">
        <is>
          <t>VINDELN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959-2025</t>
        </is>
      </c>
      <c r="B764" s="1" t="n">
        <v>45666</v>
      </c>
      <c r="C764" s="1" t="n">
        <v>46197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Sveaskog</t>
        </is>
      </c>
      <c r="G764" t="n">
        <v>8.5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18489-2025</t>
        </is>
      </c>
      <c r="B765" s="1" t="n">
        <v>45763</v>
      </c>
      <c r="C765" s="1" t="n">
        <v>46197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5783-2023</t>
        </is>
      </c>
      <c r="B766" s="1" t="n">
        <v>44963</v>
      </c>
      <c r="C766" s="1" t="n">
        <v>46197</v>
      </c>
      <c r="D766" t="inlineStr">
        <is>
          <t>VÄSTERBOTTENS LÄN</t>
        </is>
      </c>
      <c r="E766" t="inlineStr">
        <is>
          <t>VINDELN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15750-2025</t>
        </is>
      </c>
      <c r="B767" s="1" t="n">
        <v>45748</v>
      </c>
      <c r="C767" s="1" t="n">
        <v>46197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10534-2023</t>
        </is>
      </c>
      <c r="B768" s="1" t="n">
        <v>44987</v>
      </c>
      <c r="C768" s="1" t="n">
        <v>46197</v>
      </c>
      <c r="D768" t="inlineStr">
        <is>
          <t>VÄSTERBOTTENS LÄN</t>
        </is>
      </c>
      <c r="E768" t="inlineStr">
        <is>
          <t>VINDELN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32145-2024</t>
        </is>
      </c>
      <c r="B769" s="1" t="n">
        <v>45511</v>
      </c>
      <c r="C769" s="1" t="n">
        <v>46197</v>
      </c>
      <c r="D769" t="inlineStr">
        <is>
          <t>VÄSTERBOTTENS LÄN</t>
        </is>
      </c>
      <c r="E769" t="inlineStr">
        <is>
          <t>VINDELN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12308-2025</t>
        </is>
      </c>
      <c r="B770" s="1" t="n">
        <v>45729</v>
      </c>
      <c r="C770" s="1" t="n">
        <v>46197</v>
      </c>
      <c r="D770" t="inlineStr">
        <is>
          <t>VÄSTERBOTTENS LÄN</t>
        </is>
      </c>
      <c r="E770" t="inlineStr">
        <is>
          <t>VINDELN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38060-2023</t>
        </is>
      </c>
      <c r="B771" s="1" t="n">
        <v>45159</v>
      </c>
      <c r="C771" s="1" t="n">
        <v>46197</v>
      </c>
      <c r="D771" t="inlineStr">
        <is>
          <t>VÄSTERBOTTENS LÄN</t>
        </is>
      </c>
      <c r="E771" t="inlineStr">
        <is>
          <t>VINDELN</t>
        </is>
      </c>
      <c r="G771" t="n">
        <v>6.4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23471-2024</t>
        </is>
      </c>
      <c r="B772" s="1" t="n">
        <v>45453</v>
      </c>
      <c r="C772" s="1" t="n">
        <v>46197</v>
      </c>
      <c r="D772" t="inlineStr">
        <is>
          <t>VÄSTERBOTTENS LÄN</t>
        </is>
      </c>
      <c r="E772" t="inlineStr">
        <is>
          <t>VINDELN</t>
        </is>
      </c>
      <c r="F772" t="inlineStr">
        <is>
          <t>Holmen skog AB</t>
        </is>
      </c>
      <c r="G772" t="n">
        <v>8.9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35128-2024</t>
        </is>
      </c>
      <c r="B773" s="1" t="n">
        <v>45530</v>
      </c>
      <c r="C773" s="1" t="n">
        <v>46197</v>
      </c>
      <c r="D773" t="inlineStr">
        <is>
          <t>VÄSTERBOTTENS LÄN</t>
        </is>
      </c>
      <c r="E773" t="inlineStr">
        <is>
          <t>VINDELN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37543-2024</t>
        </is>
      </c>
      <c r="B774" s="1" t="n">
        <v>45541</v>
      </c>
      <c r="C774" s="1" t="n">
        <v>46197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SCA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37544-2024</t>
        </is>
      </c>
      <c r="B775" s="1" t="n">
        <v>45541</v>
      </c>
      <c r="C775" s="1" t="n">
        <v>46197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SCA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4210-2025</t>
        </is>
      </c>
      <c r="B776" s="1" t="n">
        <v>45685</v>
      </c>
      <c r="C776" s="1" t="n">
        <v>46197</v>
      </c>
      <c r="D776" t="inlineStr">
        <is>
          <t>VÄSTERBOTTENS LÄN</t>
        </is>
      </c>
      <c r="E776" t="inlineStr">
        <is>
          <t>VINDELN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60864-2024</t>
        </is>
      </c>
      <c r="B777" s="1" t="n">
        <v>45644</v>
      </c>
      <c r="C777" s="1" t="n">
        <v>46197</v>
      </c>
      <c r="D777" t="inlineStr">
        <is>
          <t>VÄSTERBOTTENS LÄN</t>
        </is>
      </c>
      <c r="E777" t="inlineStr">
        <is>
          <t>VINDELN</t>
        </is>
      </c>
      <c r="G777" t="n">
        <v>13.3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57474-2024</t>
        </is>
      </c>
      <c r="B778" s="1" t="n">
        <v>45630</v>
      </c>
      <c r="C778" s="1" t="n">
        <v>46197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SCA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2680-2023</t>
        </is>
      </c>
      <c r="B779" s="1" t="n">
        <v>44944</v>
      </c>
      <c r="C779" s="1" t="n">
        <v>46197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Sveaskog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7104-2025</t>
        </is>
      </c>
      <c r="B780" s="1" t="n">
        <v>45701</v>
      </c>
      <c r="C780" s="1" t="n">
        <v>46197</v>
      </c>
      <c r="D780" t="inlineStr">
        <is>
          <t>VÄSTERBOTTENS LÄN</t>
        </is>
      </c>
      <c r="E780" t="inlineStr">
        <is>
          <t>VINDELN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1225-2022</t>
        </is>
      </c>
      <c r="B781" s="1" t="n">
        <v>44572</v>
      </c>
      <c r="C781" s="1" t="n">
        <v>46197</v>
      </c>
      <c r="D781" t="inlineStr">
        <is>
          <t>VÄSTERBOTTENS LÄN</t>
        </is>
      </c>
      <c r="E781" t="inlineStr">
        <is>
          <t>VINDELN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20800-2025</t>
        </is>
      </c>
      <c r="B782" s="1" t="n">
        <v>45776</v>
      </c>
      <c r="C782" s="1" t="n">
        <v>46197</v>
      </c>
      <c r="D782" t="inlineStr">
        <is>
          <t>VÄSTERBOTTENS LÄN</t>
        </is>
      </c>
      <c r="E782" t="inlineStr">
        <is>
          <t>VINDELN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20796-2025</t>
        </is>
      </c>
      <c r="B783" s="1" t="n">
        <v>45776</v>
      </c>
      <c r="C783" s="1" t="n">
        <v>46197</v>
      </c>
      <c r="D783" t="inlineStr">
        <is>
          <t>VÄSTERBOTTENS LÄN</t>
        </is>
      </c>
      <c r="E783" t="inlineStr">
        <is>
          <t>VINDELN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20941-2025</t>
        </is>
      </c>
      <c r="B784" s="1" t="n">
        <v>45777</v>
      </c>
      <c r="C784" s="1" t="n">
        <v>46197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Sveaskog</t>
        </is>
      </c>
      <c r="G784" t="n">
        <v>8.199999999999999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20968-2025</t>
        </is>
      </c>
      <c r="B785" s="1" t="n">
        <v>45777</v>
      </c>
      <c r="C785" s="1" t="n">
        <v>46197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Sveaskog</t>
        </is>
      </c>
      <c r="G785" t="n">
        <v>31.1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20964-2025</t>
        </is>
      </c>
      <c r="B786" s="1" t="n">
        <v>45777</v>
      </c>
      <c r="C786" s="1" t="n">
        <v>46197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52880-2022</t>
        </is>
      </c>
      <c r="B787" s="1" t="n">
        <v>44875</v>
      </c>
      <c r="C787" s="1" t="n">
        <v>46197</v>
      </c>
      <c r="D787" t="inlineStr">
        <is>
          <t>VÄSTERBOTTENS LÄN</t>
        </is>
      </c>
      <c r="E787" t="inlineStr">
        <is>
          <t>VINDELN</t>
        </is>
      </c>
      <c r="F787" t="inlineStr">
        <is>
          <t>Sveaskog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21510-2025</t>
        </is>
      </c>
      <c r="B788" s="1" t="n">
        <v>45782</v>
      </c>
      <c r="C788" s="1" t="n">
        <v>46197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21650-2025</t>
        </is>
      </c>
      <c r="B789" s="1" t="n">
        <v>45783</v>
      </c>
      <c r="C789" s="1" t="n">
        <v>46197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22272-2025</t>
        </is>
      </c>
      <c r="B790" s="1" t="n">
        <v>45785</v>
      </c>
      <c r="C790" s="1" t="n">
        <v>46197</v>
      </c>
      <c r="D790" t="inlineStr">
        <is>
          <t>VÄSTERBOTTENS LÄN</t>
        </is>
      </c>
      <c r="E790" t="inlineStr">
        <is>
          <t>VINDELN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22550-2025</t>
        </is>
      </c>
      <c r="B791" s="1" t="n">
        <v>45788</v>
      </c>
      <c r="C791" s="1" t="n">
        <v>46197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24706-2024</t>
        </is>
      </c>
      <c r="B792" s="1" t="n">
        <v>45460</v>
      </c>
      <c r="C792" s="1" t="n">
        <v>46197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7.5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378-2024</t>
        </is>
      </c>
      <c r="B793" s="1" t="n">
        <v>45296</v>
      </c>
      <c r="C793" s="1" t="n">
        <v>46197</v>
      </c>
      <c r="D793" t="inlineStr">
        <is>
          <t>VÄSTERBOTTENS LÄN</t>
        </is>
      </c>
      <c r="E793" t="inlineStr">
        <is>
          <t>VINDELN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14357-2022</t>
        </is>
      </c>
      <c r="B794" s="1" t="n">
        <v>44652</v>
      </c>
      <c r="C794" s="1" t="n">
        <v>46197</v>
      </c>
      <c r="D794" t="inlineStr">
        <is>
          <t>VÄSTERBOTTENS LÄN</t>
        </is>
      </c>
      <c r="E794" t="inlineStr">
        <is>
          <t>VINDELN</t>
        </is>
      </c>
      <c r="G794" t="n">
        <v>21.6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1812-2025</t>
        </is>
      </c>
      <c r="B795" s="1" t="n">
        <v>45671</v>
      </c>
      <c r="C795" s="1" t="n">
        <v>46197</v>
      </c>
      <c r="D795" t="inlineStr">
        <is>
          <t>VÄSTERBOTTENS LÄN</t>
        </is>
      </c>
      <c r="E795" t="inlineStr">
        <is>
          <t>VINDELN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23753-2025</t>
        </is>
      </c>
      <c r="B796" s="1" t="n">
        <v>45793</v>
      </c>
      <c r="C796" s="1" t="n">
        <v>46197</v>
      </c>
      <c r="D796" t="inlineStr">
        <is>
          <t>VÄSTERBOTTENS LÄN</t>
        </is>
      </c>
      <c r="E796" t="inlineStr">
        <is>
          <t>VINDELN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23744-2025</t>
        </is>
      </c>
      <c r="B797" s="1" t="n">
        <v>45793</v>
      </c>
      <c r="C797" s="1" t="n">
        <v>46197</v>
      </c>
      <c r="D797" t="inlineStr">
        <is>
          <t>VÄSTERBOTTENS LÄN</t>
        </is>
      </c>
      <c r="E797" t="inlineStr">
        <is>
          <t>VINDELN</t>
        </is>
      </c>
      <c r="F797" t="inlineStr">
        <is>
          <t>Holmen skog AB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3631-2024</t>
        </is>
      </c>
      <c r="B798" s="1" t="n">
        <v>45320</v>
      </c>
      <c r="C798" s="1" t="n">
        <v>46197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SCA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23903-2025</t>
        </is>
      </c>
      <c r="B799" s="1" t="n">
        <v>45794</v>
      </c>
      <c r="C799" s="1" t="n">
        <v>46197</v>
      </c>
      <c r="D799" t="inlineStr">
        <is>
          <t>VÄSTERBOTTENS LÄN</t>
        </is>
      </c>
      <c r="E799" t="inlineStr">
        <is>
          <t>VINDELN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>
      <c r="A800" t="inlineStr">
        <is>
          <t>A 23995-2025</t>
        </is>
      </c>
      <c r="B800" s="1" t="n">
        <v>45796</v>
      </c>
      <c r="C800" s="1" t="n">
        <v>46197</v>
      </c>
      <c r="D800" t="inlineStr">
        <is>
          <t>VÄSTERBOTTENS LÄN</t>
        </is>
      </c>
      <c r="E800" t="inlineStr">
        <is>
          <t>VINDELN</t>
        </is>
      </c>
      <c r="F800" t="inlineStr">
        <is>
          <t>Holmen skog AB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2026-06-24T00:44:18Z</dcterms:created>
  <dcterms:modified xmlns:dcterms="http://purl.org/dc/terms/" xmlns:xsi="http://www.w3.org/2001/XMLSchema-instance" xsi:type="dcterms:W3CDTF">2026-06-24T00:44:19Z</dcterms:modified>
</cp:coreProperties>
</file>