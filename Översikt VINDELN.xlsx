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45286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45286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45286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45286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45286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45286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45286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45286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45286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45286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45286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45286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45286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45286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45286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45286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45286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45286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45286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45286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45286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45286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45286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45286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45286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45286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45286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45286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45286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45286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45286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45286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45286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45286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45286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45286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45286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45286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45286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45286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45286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45286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45286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45286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45286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45286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45286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45286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45286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45286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45286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45286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45286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45286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45286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59939-2023</t>
        </is>
      </c>
      <c r="B57" s="1" t="n">
        <v>45254</v>
      </c>
      <c r="C57" s="1" t="n">
        <v>45286</v>
      </c>
      <c r="D57" t="inlineStr">
        <is>
          <t>VÄSTERBOTTENS LÄN</t>
        </is>
      </c>
      <c r="E57" t="inlineStr">
        <is>
          <t>VINDELN</t>
        </is>
      </c>
      <c r="G57" t="n">
        <v>9.300000000000001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HYPERLINK("https://klasma.github.io/Logging_2404/artfynd/A 59939-2023 artfynd.xlsx", "A 59939-2023")</f>
        <v/>
      </c>
      <c r="T57">
        <f>HYPERLINK("https://klasma.github.io/Logging_2404/kartor/A 59939-2023 karta.png", "A 59939-2023")</f>
        <v/>
      </c>
      <c r="V57">
        <f>HYPERLINK("https://klasma.github.io/Logging_2404/klagomål/A 59939-2023 FSC-klagomål.docx", "A 59939-2023")</f>
        <v/>
      </c>
      <c r="W57">
        <f>HYPERLINK("https://klasma.github.io/Logging_2404/klagomålsmail/A 59939-2023 FSC-klagomål mail.docx", "A 59939-2023")</f>
        <v/>
      </c>
      <c r="X57">
        <f>HYPERLINK("https://klasma.github.io/Logging_2404/tillsyn/A 59939-2023 tillsynsbegäran.docx", "A 59939-2023")</f>
        <v/>
      </c>
      <c r="Y57">
        <f>HYPERLINK("https://klasma.github.io/Logging_2404/tillsynsmail/A 59939-2023 tillsynsbegäran mail.docx", "A 59939-2023")</f>
        <v/>
      </c>
    </row>
    <row r="58" ht="15" customHeight="1">
      <c r="A58" t="inlineStr">
        <is>
          <t>A 59903-2023</t>
        </is>
      </c>
      <c r="B58" s="1" t="n">
        <v>45254</v>
      </c>
      <c r="C58" s="1" t="n">
        <v>45286</v>
      </c>
      <c r="D58" t="inlineStr">
        <is>
          <t>VÄSTERBOTTENS LÄN</t>
        </is>
      </c>
      <c r="E58" t="inlineStr">
        <is>
          <t>VINDELN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HYPERLINK("https://klasma.github.io/Logging_2404/artfynd/A 59903-2023 artfynd.xlsx", "A 59903-2023")</f>
        <v/>
      </c>
      <c r="T58">
        <f>HYPERLINK("https://klasma.github.io/Logging_2404/kartor/A 59903-2023 karta.png", "A 59903-2023")</f>
        <v/>
      </c>
      <c r="U58">
        <f>HYPERLINK("https://klasma.github.io/Logging_2404/knärot/A 59903-2023 karta knärot.png", "A 59903-2023")</f>
        <v/>
      </c>
      <c r="V58">
        <f>HYPERLINK("https://klasma.github.io/Logging_2404/klagomål/A 59903-2023 FSC-klagomål.docx", "A 59903-2023")</f>
        <v/>
      </c>
      <c r="W58">
        <f>HYPERLINK("https://klasma.github.io/Logging_2404/klagomålsmail/A 59903-2023 FSC-klagomål mail.docx", "A 59903-2023")</f>
        <v/>
      </c>
      <c r="X58">
        <f>HYPERLINK("https://klasma.github.io/Logging_2404/tillsyn/A 59903-2023 tillsynsbegäran.docx", "A 59903-2023")</f>
        <v/>
      </c>
      <c r="Y58">
        <f>HYPERLINK("https://klasma.github.io/Logging_2404/tillsynsmail/A 59903-2023 tillsynsbegäran mail.docx", "A 59903-2023")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45286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45286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45286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45286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45286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45286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45286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45286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45286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45286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45286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45286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45286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45286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45286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45286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45286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45286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45286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45286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45286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45286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45286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45286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45286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45286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45286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45286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45286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45286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45286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45286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45286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45286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45286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45286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45286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45286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45286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45286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45286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45286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45286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45286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45286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45286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45286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45286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45286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45286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45286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45286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45286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45286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45286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45286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45286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45286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45286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45286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45286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45286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45286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45286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45286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45286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45286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45286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45286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45286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45286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45286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45286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45286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45286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45286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45286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45286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45286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45286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45286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45286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45286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45286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45286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45286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45286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45286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45286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45286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45286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45286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45286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45286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45286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45286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45286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45286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45286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45286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45286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45286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45286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45286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45286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45286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45286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45286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45286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45286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45286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45286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45286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45286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45286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45286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45286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45286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45286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45286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45286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45286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45286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45286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45286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45286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45286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45286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45286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45286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45286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45286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45286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45286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45286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45286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45286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45286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45286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45286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45286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45286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45286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45286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45286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45286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45286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45286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45286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45286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45286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45286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45286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45286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45286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45286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45286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45286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45286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45286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45286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45286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45286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45286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45286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45286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45286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45286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45286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45286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45286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45286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45286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45286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45286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45286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45286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45286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45286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45286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45286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45286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45286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45286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45286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45286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45286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45286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45286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45286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45286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45286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45286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45286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45286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45286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45286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45286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45286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45286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45286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45286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45286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45286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45286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45286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45286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45286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45286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45286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45286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45286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45286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45286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45286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45286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45286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45286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45286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45286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45286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45286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45286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45286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45286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45286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45286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45286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45286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45286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45286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45286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45286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45286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45286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45286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45286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45286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45286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45286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45286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45286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45286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45286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45286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45286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45286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45286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45286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45286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45286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45286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45286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45286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45286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45286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45286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45286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45286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45286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45286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45286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45286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45286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45286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45286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45286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45286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45286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45286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45286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45286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45286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45286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45286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45286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45286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45286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45286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45286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45286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45286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45286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45286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45286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45286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45286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45286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45286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45286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45286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45286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45286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45286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45286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45286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45286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45286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45286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45286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45286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45286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45286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45286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45286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45286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45286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45286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45286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45286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45286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45286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45286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45286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45286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45286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45286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45286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45286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45286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45286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45286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45286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45286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45286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45286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45286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45286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45286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45286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45286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45286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45286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45286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45286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45286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45286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45286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45286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45286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45286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45286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45286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45286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45286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45286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45286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45286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45286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45286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45286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45286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45286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45286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45286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45286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45286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45286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45286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45286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45286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45286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45286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45286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45286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45286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45286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45286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45286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45286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45286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45286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45286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45286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45286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45286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45286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45286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45286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45286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45286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45286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45286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45286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45286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45286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45286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45286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45286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45286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45286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45286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45286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45286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45286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45286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45286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45286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45286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45286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45286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45286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45286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45286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45286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45286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45286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45286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45286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45286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45286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45286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45286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45286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45286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45286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45286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45286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45286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45286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45286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45286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45286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45286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45286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45286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45286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45286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45286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45286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45286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45286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45286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45286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45286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45286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45286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45286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45286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45286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45286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45286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45286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45286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45286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45286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45286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45286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45286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45286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45286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45286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45286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45286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45286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45286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45286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45286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45286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45286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45286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45286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45286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45286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45286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45286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45286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45286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45286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45286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45286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45286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45286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45286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45286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45286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45286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45286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45286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45286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45286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45286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45286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45286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45286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45286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45286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45286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45286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45286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45286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45286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45286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45286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45286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45286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45286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45286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45286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45286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45286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45286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45286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45286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45286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45286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45286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45286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45286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45286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45286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45286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45286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45286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45286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45286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45286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45286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45286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45286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45286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45286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45286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45286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45286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45286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45286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45286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45286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45286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45286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45286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45286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45286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45286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45286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45286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45286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45286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45286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45286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45286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45286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45286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45286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45286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45286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45286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45286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45286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45286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45286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45286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45286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45286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45286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45286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45286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45286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45286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45286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45286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45286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45286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45286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45286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45286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45286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45286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45286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45286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45286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45286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45286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45286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45286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45286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45286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45286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45286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45286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45286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45286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45286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45286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45286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45286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45286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45286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45286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45286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45286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45286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45286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45286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45286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45286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45286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45286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45286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45286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45286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45286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45286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45286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45286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45286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45286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45286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45286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45286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45286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45286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45286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45286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45286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45286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45286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45286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45286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45286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45286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45286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45286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45286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45286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45286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45286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45286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45286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45286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45286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45286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45286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45286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45286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45286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45286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45286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45286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45286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45286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45286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45286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45286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45286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45286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45286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45286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45286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45286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45286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45286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45286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45286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45286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45286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45286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45286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45286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45286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45286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45286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45286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45286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45286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45286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45286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45286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45286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45286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45286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45286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45286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45286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45286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45286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45286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45286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45286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45286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45286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45286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45286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45286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45286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45286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45286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45286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45286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45286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45286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45286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45286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45286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45286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45286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45286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45286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45286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45286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45286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45286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45286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45286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45286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45286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45286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45286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45286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45286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45286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45286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45286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45286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45286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45286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45286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45286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45286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45286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45286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45286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45286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45286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45286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45286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45286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45286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45286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45286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45286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45286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45286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45286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45286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45286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45286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45286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45286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45286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45286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45286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45286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45286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45286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45286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45286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45286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45286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45286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45286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45286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45286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45286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45286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45286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45286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45286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45286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45286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45286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45286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45286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45286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45286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45286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45286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45286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45286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45286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45286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45286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45286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45286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45286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45286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45286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45286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45286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45286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45286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45286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45286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45286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45286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45286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45286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45286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45286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45286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45286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45286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45286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45286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45286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45286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45286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45286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45286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45286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45286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45286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45286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45286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45286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45286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45286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45286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45286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45286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45286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45286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45286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45286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45286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45286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45286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45286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45286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45286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45286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45286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45286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45286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45286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45286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45286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45286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45286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45286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45286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45286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45286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45286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45286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45286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45286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45286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45286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45286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45286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45286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45286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45286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45286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45286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45286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45286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45286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45286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45286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45286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45286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45286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45286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45286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45286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45286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45286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45286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45286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45286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45286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45286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45286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45286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45286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45286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45286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45286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45286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45286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45286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45286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45286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45286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45286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45286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45286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45286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45286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45286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45286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45286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45286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45286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45286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45286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45286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45286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45286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45286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45286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45286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45286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45286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45286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45286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45286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45286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45286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45286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45286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45286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45286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45286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45286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45286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45286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45286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45286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45286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45286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45286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45286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45286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45286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45286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45286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45286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45286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45286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45286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45286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45286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45286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45286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45286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45286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45286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45286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45286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45286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45286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45286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45286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45286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45286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45286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45286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45286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45286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45286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45286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45286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45286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45286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45286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45286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45286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45286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45286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45286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45286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45286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45286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45286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45286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45286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45286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45286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45286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45286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45286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45286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45286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45286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45286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45286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45286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45286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56182-2023</t>
        </is>
      </c>
      <c r="B1031" s="1" t="n">
        <v>45240</v>
      </c>
      <c r="C1031" s="1" t="n">
        <v>45286</v>
      </c>
      <c r="D1031" t="inlineStr">
        <is>
          <t>VÄSTERBOTTENS LÄN</t>
        </is>
      </c>
      <c r="E1031" t="inlineStr">
        <is>
          <t>VINDELN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55988-2023</t>
        </is>
      </c>
      <c r="B1032" s="1" t="n">
        <v>45240</v>
      </c>
      <c r="C1032" s="1" t="n">
        <v>45286</v>
      </c>
      <c r="D1032" t="inlineStr">
        <is>
          <t>VÄSTERBOTTENS LÄN</t>
        </is>
      </c>
      <c r="E1032" t="inlineStr">
        <is>
          <t>VINDELN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45286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45286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45286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45286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45286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45286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45286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57846-2023</t>
        </is>
      </c>
      <c r="B1040" s="1" t="n">
        <v>45247</v>
      </c>
      <c r="C1040" s="1" t="n">
        <v>45286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57868-2023</t>
        </is>
      </c>
      <c r="B1041" s="1" t="n">
        <v>45247</v>
      </c>
      <c r="C1041" s="1" t="n">
        <v>45286</v>
      </c>
      <c r="D1041" t="inlineStr">
        <is>
          <t>VÄSTERBOTTENS LÄN</t>
        </is>
      </c>
      <c r="E1041" t="inlineStr">
        <is>
          <t>VINDELN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57865-2023</t>
        </is>
      </c>
      <c r="B1042" s="1" t="n">
        <v>45247</v>
      </c>
      <c r="C1042" s="1" t="n">
        <v>45286</v>
      </c>
      <c r="D1042" t="inlineStr">
        <is>
          <t>VÄSTERBOTTENS LÄN</t>
        </is>
      </c>
      <c r="E1042" t="inlineStr">
        <is>
          <t>VINDELN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57887-2023</t>
        </is>
      </c>
      <c r="B1043" s="1" t="n">
        <v>45247</v>
      </c>
      <c r="C1043" s="1" t="n">
        <v>45286</v>
      </c>
      <c r="D1043" t="inlineStr">
        <is>
          <t>VÄSTERBOTTENS LÄN</t>
        </is>
      </c>
      <c r="E1043" t="inlineStr">
        <is>
          <t>VINDELN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57867-2023</t>
        </is>
      </c>
      <c r="B1044" s="1" t="n">
        <v>45247</v>
      </c>
      <c r="C1044" s="1" t="n">
        <v>45286</v>
      </c>
      <c r="D1044" t="inlineStr">
        <is>
          <t>VÄSTERBOTTENS LÄN</t>
        </is>
      </c>
      <c r="E1044" t="inlineStr">
        <is>
          <t>VINDELN</t>
        </is>
      </c>
      <c r="G1044" t="n">
        <v>10.6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45286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45286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58590-2023</t>
        </is>
      </c>
      <c r="B1047" s="1" t="n">
        <v>45251</v>
      </c>
      <c r="C1047" s="1" t="n">
        <v>45286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58660-2023</t>
        </is>
      </c>
      <c r="B1048" s="1" t="n">
        <v>45251</v>
      </c>
      <c r="C1048" s="1" t="n">
        <v>45286</v>
      </c>
      <c r="D1048" t="inlineStr">
        <is>
          <t>VÄSTERBOTTENS LÄN</t>
        </is>
      </c>
      <c r="E1048" t="inlineStr">
        <is>
          <t>VINDELN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45286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45286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60859-2023</t>
        </is>
      </c>
      <c r="B1051" s="1" t="n">
        <v>45260</v>
      </c>
      <c r="C1051" s="1" t="n">
        <v>45286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60871-2023</t>
        </is>
      </c>
      <c r="B1052" s="1" t="n">
        <v>45261</v>
      </c>
      <c r="C1052" s="1" t="n">
        <v>45286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45261</v>
      </c>
      <c r="C1053" s="1" t="n">
        <v>45286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45286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62047-2023</t>
        </is>
      </c>
      <c r="B1055" s="1" t="n">
        <v>45266</v>
      </c>
      <c r="C1055" s="1" t="n">
        <v>45286</v>
      </c>
      <c r="D1055" t="inlineStr">
        <is>
          <t>VÄSTERBOTTENS LÄN</t>
        </is>
      </c>
      <c r="E1055" t="inlineStr">
        <is>
          <t>VINDELN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62341-2023</t>
        </is>
      </c>
      <c r="B1056" s="1" t="n">
        <v>45267</v>
      </c>
      <c r="C1056" s="1" t="n">
        <v>45286</v>
      </c>
      <c r="D1056" t="inlineStr">
        <is>
          <t>VÄSTERBOTTENS LÄN</t>
        </is>
      </c>
      <c r="E1056" t="inlineStr">
        <is>
          <t>VINDELN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62605-2023</t>
        </is>
      </c>
      <c r="B1057" s="1" t="n">
        <v>45267</v>
      </c>
      <c r="C1057" s="1" t="n">
        <v>45286</v>
      </c>
      <c r="D1057" t="inlineStr">
        <is>
          <t>VÄSTERBOTTENS LÄN</t>
        </is>
      </c>
      <c r="E1057" t="inlineStr">
        <is>
          <t>VINDELN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62868-2023</t>
        </is>
      </c>
      <c r="B1058" s="1" t="n">
        <v>45271</v>
      </c>
      <c r="C1058" s="1" t="n">
        <v>45286</v>
      </c>
      <c r="D1058" t="inlineStr">
        <is>
          <t>VÄSTERBOTTENS LÄN</t>
        </is>
      </c>
      <c r="E1058" t="inlineStr">
        <is>
          <t>VINDELN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63687-2023</t>
        </is>
      </c>
      <c r="B1059" s="1" t="n">
        <v>45275</v>
      </c>
      <c r="C1059" s="1" t="n">
        <v>45286</v>
      </c>
      <c r="D1059" t="inlineStr">
        <is>
          <t>VÄSTERBOTTENS LÄN</t>
        </is>
      </c>
      <c r="E1059" t="inlineStr">
        <is>
          <t>VINDELN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64205-2023</t>
        </is>
      </c>
      <c r="B1060" s="1" t="n">
        <v>45279</v>
      </c>
      <c r="C1060" s="1" t="n">
        <v>45286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64344-2023</t>
        </is>
      </c>
      <c r="B1061" s="1" t="n">
        <v>45279</v>
      </c>
      <c r="C1061" s="1" t="n">
        <v>45286</v>
      </c>
      <c r="D1061" t="inlineStr">
        <is>
          <t>VÄSTERBOTTENS LÄN</t>
        </is>
      </c>
      <c r="E1061" t="inlineStr">
        <is>
          <t>VINDELN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64351-2023</t>
        </is>
      </c>
      <c r="B1062" s="1" t="n">
        <v>45280</v>
      </c>
      <c r="C1062" s="1" t="n">
        <v>45286</v>
      </c>
      <c r="D1062" t="inlineStr">
        <is>
          <t>VÄSTERBOTTENS LÄN</t>
        </is>
      </c>
      <c r="E1062" t="inlineStr">
        <is>
          <t>VINDELN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2023-12-27T01:17:21Z</dcterms:created>
  <dcterms:modified xmlns:dcterms="http://purl.org/dc/terms/" xmlns:xsi="http://www.w3.org/2001/XMLSchema-instance" xsi:type="dcterms:W3CDTF">2023-12-27T01:17:24Z</dcterms:modified>
</cp:coreProperties>
</file>