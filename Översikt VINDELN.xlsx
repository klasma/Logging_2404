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45939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45939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45939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45939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45939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45939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45939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45939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45939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45939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45939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45939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45939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45939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25986-2025</t>
        </is>
      </c>
      <c r="B29" s="1" t="n">
        <v>45804.64533564815</v>
      </c>
      <c r="C29" s="1" t="n">
        <v>45939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10.2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Vanlig padda
Revlummer</t>
        </is>
      </c>
      <c r="S29">
        <f>HYPERLINK("https://klasma.github.io/Logging_2404/artfynd/A 25986-2025 artfynd.xlsx", "A 25986-2025")</f>
        <v/>
      </c>
      <c r="T29">
        <f>HYPERLINK("https://klasma.github.io/Logging_2404/kartor/A 25986-2025 karta.png", "A 25986-2025")</f>
        <v/>
      </c>
      <c r="U29">
        <f>HYPERLINK("https://klasma.github.io/Logging_2404/knärot/A 25986-2025 karta knärot.png", "A 25986-2025")</f>
        <v/>
      </c>
      <c r="V29">
        <f>HYPERLINK("https://klasma.github.io/Logging_2404/klagomål/A 25986-2025 FSC-klagomål.docx", "A 25986-2025")</f>
        <v/>
      </c>
      <c r="W29">
        <f>HYPERLINK("https://klasma.github.io/Logging_2404/klagomålsmail/A 25986-2025 FSC-klagomål mail.docx", "A 25986-2025")</f>
        <v/>
      </c>
      <c r="X29">
        <f>HYPERLINK("https://klasma.github.io/Logging_2404/tillsyn/A 25986-2025 tillsynsbegäran.docx", "A 25986-2025")</f>
        <v/>
      </c>
      <c r="Y29">
        <f>HYPERLINK("https://klasma.github.io/Logging_2404/tillsynsmail/A 25986-2025 tillsynsbegäran mail.docx", "A 25986-2025")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45939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45939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45939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45939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45939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45939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45939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45939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45939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45939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45939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45939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57675-2024</t>
        </is>
      </c>
      <c r="B44" s="1" t="n">
        <v>45630</v>
      </c>
      <c r="C44" s="1" t="n">
        <v>45939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HYPERLINK("https://klasma.github.io/Logging_2404/artfynd/A 57675-2024 artfynd.xlsx", "A 57675-2024")</f>
        <v/>
      </c>
      <c r="T44">
        <f>HYPERLINK("https://klasma.github.io/Logging_2404/kartor/A 57675-2024 karta.png", "A 57675-2024")</f>
        <v/>
      </c>
      <c r="V44">
        <f>HYPERLINK("https://klasma.github.io/Logging_2404/klagomål/A 57675-2024 FSC-klagomål.docx", "A 57675-2024")</f>
        <v/>
      </c>
      <c r="W44">
        <f>HYPERLINK("https://klasma.github.io/Logging_2404/klagomålsmail/A 57675-2024 FSC-klagomål mail.docx", "A 57675-2024")</f>
        <v/>
      </c>
      <c r="X44">
        <f>HYPERLINK("https://klasma.github.io/Logging_2404/tillsyn/A 57675-2024 tillsynsbegäran.docx", "A 57675-2024")</f>
        <v/>
      </c>
      <c r="Y44">
        <f>HYPERLINK("https://klasma.github.io/Logging_2404/tillsynsmail/A 57675-2024 tillsynsbegäran mail.docx", "A 57675-2024")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45939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45939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45939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45939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45074-2025</t>
        </is>
      </c>
      <c r="B49" s="1" t="n">
        <v>45919.36138888889</v>
      </c>
      <c r="C49" s="1" t="n">
        <v>45939</v>
      </c>
      <c r="D49" t="inlineStr">
        <is>
          <t>VÄSTERBOTTENS LÄN</t>
        </is>
      </c>
      <c r="E49" t="inlineStr">
        <is>
          <t>VINDELN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45074-2025 artfynd.xlsx", "A 45074-2025")</f>
        <v/>
      </c>
      <c r="T49">
        <f>HYPERLINK("https://klasma.github.io/Logging_2404/kartor/A 45074-2025 karta.png", "A 45074-2025")</f>
        <v/>
      </c>
      <c r="V49">
        <f>HYPERLINK("https://klasma.github.io/Logging_2404/klagomål/A 45074-2025 FSC-klagomål.docx", "A 45074-2025")</f>
        <v/>
      </c>
      <c r="W49">
        <f>HYPERLINK("https://klasma.github.io/Logging_2404/klagomålsmail/A 45074-2025 FSC-klagomål mail.docx", "A 45074-2025")</f>
        <v/>
      </c>
      <c r="X49">
        <f>HYPERLINK("https://klasma.github.io/Logging_2404/tillsyn/A 45074-2025 tillsynsbegäran.docx", "A 45074-2025")</f>
        <v/>
      </c>
      <c r="Y49">
        <f>HYPERLINK("https://klasma.github.io/Logging_2404/tillsynsmail/A 45074-2025 tillsynsbegäran mail.docx", "A 45074-2025")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45939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36517-2024</t>
        </is>
      </c>
      <c r="B51" s="1" t="n">
        <v>45537.42907407408</v>
      </c>
      <c r="C51" s="1" t="n">
        <v>45939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11.8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HYPERLINK("https://klasma.github.io/Logging_2404/artfynd/A 36517-2024 artfynd.xlsx", "A 36517-2024")</f>
        <v/>
      </c>
      <c r="T51">
        <f>HYPERLINK("https://klasma.github.io/Logging_2404/kartor/A 36517-2024 karta.png", "A 36517-2024")</f>
        <v/>
      </c>
      <c r="V51">
        <f>HYPERLINK("https://klasma.github.io/Logging_2404/klagomål/A 36517-2024 FSC-klagomål.docx", "A 36517-2024")</f>
        <v/>
      </c>
      <c r="W51">
        <f>HYPERLINK("https://klasma.github.io/Logging_2404/klagomålsmail/A 36517-2024 FSC-klagomål mail.docx", "A 36517-2024")</f>
        <v/>
      </c>
      <c r="X51">
        <f>HYPERLINK("https://klasma.github.io/Logging_2404/tillsyn/A 36517-2024 tillsynsbegäran.docx", "A 36517-2024")</f>
        <v/>
      </c>
      <c r="Y51">
        <f>HYPERLINK("https://klasma.github.io/Logging_2404/tillsynsmail/A 36517-2024 tillsynsbegäran mail.docx", "A 36517-2024")</f>
        <v/>
      </c>
    </row>
    <row r="52" ht="15" customHeight="1">
      <c r="A52" t="inlineStr">
        <is>
          <t>A 32830-2024</t>
        </is>
      </c>
      <c r="B52" s="1" t="n">
        <v>45516.59490740741</v>
      </c>
      <c r="C52" s="1" t="n">
        <v>45939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32830-2024 artfynd.xlsx", "A 32830-2024")</f>
        <v/>
      </c>
      <c r="T52">
        <f>HYPERLINK("https://klasma.github.io/Logging_2404/kartor/A 32830-2024 karta.png", "A 32830-2024")</f>
        <v/>
      </c>
      <c r="V52">
        <f>HYPERLINK("https://klasma.github.io/Logging_2404/klagomål/A 32830-2024 FSC-klagomål.docx", "A 32830-2024")</f>
        <v/>
      </c>
      <c r="W52">
        <f>HYPERLINK("https://klasma.github.io/Logging_2404/klagomålsmail/A 32830-2024 FSC-klagomål mail.docx", "A 32830-2024")</f>
        <v/>
      </c>
      <c r="X52">
        <f>HYPERLINK("https://klasma.github.io/Logging_2404/tillsyn/A 32830-2024 tillsynsbegäran.docx", "A 32830-2024")</f>
        <v/>
      </c>
      <c r="Y52">
        <f>HYPERLINK("https://klasma.github.io/Logging_2404/tillsynsmail/A 32830-2024 tillsynsbegäran mail.docx", "A 32830-2024")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45939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45939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59903-2023</t>
        </is>
      </c>
      <c r="B55" s="1" t="n">
        <v>45254</v>
      </c>
      <c r="C55" s="1" t="n">
        <v>45939</v>
      </c>
      <c r="D55" t="inlineStr">
        <is>
          <t>VÄSTERBOTTENS LÄN</t>
        </is>
      </c>
      <c r="E55" t="inlineStr">
        <is>
          <t>VINDELN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HYPERLINK("https://klasma.github.io/Logging_2404/artfynd/A 59903-2023 artfynd.xlsx", "A 59903-2023")</f>
        <v/>
      </c>
      <c r="T55">
        <f>HYPERLINK("https://klasma.github.io/Logging_2404/kartor/A 59903-2023 karta.png", "A 59903-2023")</f>
        <v/>
      </c>
      <c r="U55">
        <f>HYPERLINK("https://klasma.github.io/Logging_2404/knärot/A 59903-2023 karta knärot.png", "A 59903-2023")</f>
        <v/>
      </c>
      <c r="V55">
        <f>HYPERLINK("https://klasma.github.io/Logging_2404/klagomål/A 59903-2023 FSC-klagomål.docx", "A 59903-2023")</f>
        <v/>
      </c>
      <c r="W55">
        <f>HYPERLINK("https://klasma.github.io/Logging_2404/klagomålsmail/A 59903-2023 FSC-klagomål mail.docx", "A 59903-2023")</f>
        <v/>
      </c>
      <c r="X55">
        <f>HYPERLINK("https://klasma.github.io/Logging_2404/tillsyn/A 59903-2023 tillsynsbegäran.docx", "A 59903-2023")</f>
        <v/>
      </c>
      <c r="Y55">
        <f>HYPERLINK("https://klasma.github.io/Logging_2404/tillsynsmail/A 59903-2023 tillsynsbegäran mail.docx", "A 59903-2023")</f>
        <v/>
      </c>
    </row>
    <row r="56" ht="15" customHeight="1">
      <c r="A56" t="inlineStr">
        <is>
          <t>A 37953-2023</t>
        </is>
      </c>
      <c r="B56" s="1" t="n">
        <v>45159</v>
      </c>
      <c r="C56" s="1" t="n">
        <v>45939</v>
      </c>
      <c r="D56" t="inlineStr">
        <is>
          <t>VÄSTERBOTTENS LÄN</t>
        </is>
      </c>
      <c r="E56" t="inlineStr">
        <is>
          <t>VINDELN</t>
        </is>
      </c>
      <c r="G56" t="n">
        <v>1.5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HYPERLINK("https://klasma.github.io/Logging_2404/artfynd/A 37953-2023 artfynd.xlsx", "A 37953-2023")</f>
        <v/>
      </c>
      <c r="T56">
        <f>HYPERLINK("https://klasma.github.io/Logging_2404/kartor/A 37953-2023 karta.png", "A 37953-2023")</f>
        <v/>
      </c>
      <c r="U56">
        <f>HYPERLINK("https://klasma.github.io/Logging_2404/knärot/A 37953-2023 karta knärot.png", "A 37953-2023")</f>
        <v/>
      </c>
      <c r="V56">
        <f>HYPERLINK("https://klasma.github.io/Logging_2404/klagomål/A 37953-2023 FSC-klagomål.docx", "A 37953-2023")</f>
        <v/>
      </c>
      <c r="W56">
        <f>HYPERLINK("https://klasma.github.io/Logging_2404/klagomålsmail/A 37953-2023 FSC-klagomål mail.docx", "A 37953-2023")</f>
        <v/>
      </c>
      <c r="X56">
        <f>HYPERLINK("https://klasma.github.io/Logging_2404/tillsyn/A 37953-2023 tillsynsbegäran.docx", "A 37953-2023")</f>
        <v/>
      </c>
      <c r="Y56">
        <f>HYPERLINK("https://klasma.github.io/Logging_2404/tillsynsmail/A 37953-2023 tillsynsbegäran mail.docx", "A 37953-2023")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45939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45939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45939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45939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45939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45939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45939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45939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45939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45939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45939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45939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45939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45939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45939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45939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45939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45939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45939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45939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45939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45939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45939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45939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45939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45939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45939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45939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45939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45939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45939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45939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45939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45939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45939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45939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45939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45939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45939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45939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45939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45939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45939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45939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72551-2021</t>
        </is>
      </c>
      <c r="B102" s="1" t="n">
        <v>44545</v>
      </c>
      <c r="C102" s="1" t="n">
        <v>45939</v>
      </c>
      <c r="D102" t="inlineStr">
        <is>
          <t>VÄSTERBOTTENS LÄN</t>
        </is>
      </c>
      <c r="E102" t="inlineStr">
        <is>
          <t>VINDELN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60337-2020</t>
        </is>
      </c>
      <c r="B103" s="1" t="n">
        <v>44151</v>
      </c>
      <c r="C103" s="1" t="n">
        <v>45939</v>
      </c>
      <c r="D103" t="inlineStr">
        <is>
          <t>VÄSTERBOTTENS LÄN</t>
        </is>
      </c>
      <c r="E103" t="inlineStr">
        <is>
          <t>VINDELN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46422-2022</t>
        </is>
      </c>
      <c r="B104" s="1" t="n">
        <v>44848.44364583334</v>
      </c>
      <c r="C104" s="1" t="n">
        <v>45939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45939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45939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45939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45939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45939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45939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52883-2022</t>
        </is>
      </c>
      <c r="B111" s="1" t="n">
        <v>44875</v>
      </c>
      <c r="C111" s="1" t="n">
        <v>45939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45939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45939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64045-2020</t>
        </is>
      </c>
      <c r="B114" s="1" t="n">
        <v>44167</v>
      </c>
      <c r="C114" s="1" t="n">
        <v>45939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45939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45939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45939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54708-2020</t>
        </is>
      </c>
      <c r="B118" s="1" t="n">
        <v>44123</v>
      </c>
      <c r="C118" s="1" t="n">
        <v>45939</v>
      </c>
      <c r="D118" t="inlineStr">
        <is>
          <t>VÄSTERBOTTENS LÄN</t>
        </is>
      </c>
      <c r="E118" t="inlineStr">
        <is>
          <t>VINDELN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45939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45939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45939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61430-2021</t>
        </is>
      </c>
      <c r="B122" s="1" t="n">
        <v>44500</v>
      </c>
      <c r="C122" s="1" t="n">
        <v>45939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45939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36058-2022</t>
        </is>
      </c>
      <c r="B124" s="1" t="n">
        <v>44802.80567129629</v>
      </c>
      <c r="C124" s="1" t="n">
        <v>45939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54038-2020</t>
        </is>
      </c>
      <c r="B125" s="1" t="n">
        <v>44123</v>
      </c>
      <c r="C125" s="1" t="n">
        <v>45939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45939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45939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45939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45939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45939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45939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45939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45939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45939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45939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45939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40708-2022</t>
        </is>
      </c>
      <c r="B137" s="1" t="n">
        <v>44824.4777662037</v>
      </c>
      <c r="C137" s="1" t="n">
        <v>45939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45939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45939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18094-2021</t>
        </is>
      </c>
      <c r="B140" s="1" t="n">
        <v>44302</v>
      </c>
      <c r="C140" s="1" t="n">
        <v>45939</v>
      </c>
      <c r="D140" t="inlineStr">
        <is>
          <t>VÄSTERBOTTENS LÄN</t>
        </is>
      </c>
      <c r="E140" t="inlineStr">
        <is>
          <t>VINDELN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45939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45939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63670-2021</t>
        </is>
      </c>
      <c r="B143" s="1" t="n">
        <v>44509.3734375</v>
      </c>
      <c r="C143" s="1" t="n">
        <v>45939</v>
      </c>
      <c r="D143" t="inlineStr">
        <is>
          <t>VÄSTERBOTTENS LÄN</t>
        </is>
      </c>
      <c r="E143" t="inlineStr">
        <is>
          <t>VINDELN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53585-2020</t>
        </is>
      </c>
      <c r="B144" s="1" t="n">
        <v>44124</v>
      </c>
      <c r="C144" s="1" t="n">
        <v>45939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5661-2021</t>
        </is>
      </c>
      <c r="B145" s="1" t="n">
        <v>44230</v>
      </c>
      <c r="C145" s="1" t="n">
        <v>45939</v>
      </c>
      <c r="D145" t="inlineStr">
        <is>
          <t>VÄSTERBOTTENS LÄN</t>
        </is>
      </c>
      <c r="E145" t="inlineStr">
        <is>
          <t>VINDELN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18399-2022</t>
        </is>
      </c>
      <c r="B146" s="1" t="n">
        <v>44685</v>
      </c>
      <c r="C146" s="1" t="n">
        <v>45939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58466-2021</t>
        </is>
      </c>
      <c r="B147" s="1" t="n">
        <v>44488</v>
      </c>
      <c r="C147" s="1" t="n">
        <v>45939</v>
      </c>
      <c r="D147" t="inlineStr">
        <is>
          <t>VÄSTERBOTTENS LÄN</t>
        </is>
      </c>
      <c r="E147" t="inlineStr">
        <is>
          <t>VINDELN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2902-2022</t>
        </is>
      </c>
      <c r="B148" s="1" t="n">
        <v>44581</v>
      </c>
      <c r="C148" s="1" t="n">
        <v>45939</v>
      </c>
      <c r="D148" t="inlineStr">
        <is>
          <t>VÄSTERBOTTENS LÄN</t>
        </is>
      </c>
      <c r="E148" t="inlineStr">
        <is>
          <t>VINDELN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35195-2022</t>
        </is>
      </c>
      <c r="B149" s="1" t="n">
        <v>44797</v>
      </c>
      <c r="C149" s="1" t="n">
        <v>45939</v>
      </c>
      <c r="D149" t="inlineStr">
        <is>
          <t>VÄSTERBOTTENS LÄN</t>
        </is>
      </c>
      <c r="E149" t="inlineStr">
        <is>
          <t>VINDELN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43273-2021</t>
        </is>
      </c>
      <c r="B150" s="1" t="n">
        <v>44432</v>
      </c>
      <c r="C150" s="1" t="n">
        <v>45939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45939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45939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45939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45939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63438-2020</t>
        </is>
      </c>
      <c r="B155" s="1" t="n">
        <v>44161</v>
      </c>
      <c r="C155" s="1" t="n">
        <v>45939</v>
      </c>
      <c r="D155" t="inlineStr">
        <is>
          <t>VÄSTERBOTTENS LÄN</t>
        </is>
      </c>
      <c r="E155" t="inlineStr">
        <is>
          <t>VINDELN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20327-2022</t>
        </is>
      </c>
      <c r="B156" s="1" t="n">
        <v>44698</v>
      </c>
      <c r="C156" s="1" t="n">
        <v>45939</v>
      </c>
      <c r="D156" t="inlineStr">
        <is>
          <t>VÄSTERBOTTENS LÄN</t>
        </is>
      </c>
      <c r="E156" t="inlineStr">
        <is>
          <t>VINDELN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45939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41959-2021</t>
        </is>
      </c>
      <c r="B158" s="1" t="n">
        <v>44426</v>
      </c>
      <c r="C158" s="1" t="n">
        <v>45939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67032-2020</t>
        </is>
      </c>
      <c r="B159" s="1" t="n">
        <v>44180</v>
      </c>
      <c r="C159" s="1" t="n">
        <v>45939</v>
      </c>
      <c r="D159" t="inlineStr">
        <is>
          <t>VÄSTERBOTTENS LÄN</t>
        </is>
      </c>
      <c r="E159" t="inlineStr">
        <is>
          <t>VINDELN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44384-2022</t>
        </is>
      </c>
      <c r="B160" s="1" t="n">
        <v>44839</v>
      </c>
      <c r="C160" s="1" t="n">
        <v>45939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55671-2020</t>
        </is>
      </c>
      <c r="B161" s="1" t="n">
        <v>44131</v>
      </c>
      <c r="C161" s="1" t="n">
        <v>45939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45939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3042-2021</t>
        </is>
      </c>
      <c r="B163" s="1" t="n">
        <v>44215</v>
      </c>
      <c r="C163" s="1" t="n">
        <v>45939</v>
      </c>
      <c r="D163" t="inlineStr">
        <is>
          <t>VÄSTERBOTTENS LÄN</t>
        </is>
      </c>
      <c r="E163" t="inlineStr">
        <is>
          <t>VINDELN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45939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70699-2021</t>
        </is>
      </c>
      <c r="B165" s="1" t="n">
        <v>44536</v>
      </c>
      <c r="C165" s="1" t="n">
        <v>45939</v>
      </c>
      <c r="D165" t="inlineStr">
        <is>
          <t>VÄSTERBOTTENS LÄN</t>
        </is>
      </c>
      <c r="E165" t="inlineStr">
        <is>
          <t>VINDELN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36385-2022</t>
        </is>
      </c>
      <c r="B166" s="1" t="n">
        <v>44803</v>
      </c>
      <c r="C166" s="1" t="n">
        <v>45939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48573-2022</t>
        </is>
      </c>
      <c r="B167" s="1" t="n">
        <v>44854</v>
      </c>
      <c r="C167" s="1" t="n">
        <v>45939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21942-2022</t>
        </is>
      </c>
      <c r="B168" s="1" t="n">
        <v>44711</v>
      </c>
      <c r="C168" s="1" t="n">
        <v>45939</v>
      </c>
      <c r="D168" t="inlineStr">
        <is>
          <t>VÄSTERBOTTENS LÄN</t>
        </is>
      </c>
      <c r="E168" t="inlineStr">
        <is>
          <t>VINDELN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40123-2022</t>
        </is>
      </c>
      <c r="B169" s="1" t="n">
        <v>44820</v>
      </c>
      <c r="C169" s="1" t="n">
        <v>45939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29466-2024</t>
        </is>
      </c>
      <c r="B170" s="1" t="n">
        <v>45483.97041666666</v>
      </c>
      <c r="C170" s="1" t="n">
        <v>45939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70881-2021</t>
        </is>
      </c>
      <c r="B171" s="1" t="n">
        <v>44537</v>
      </c>
      <c r="C171" s="1" t="n">
        <v>45939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22343-2021</t>
        </is>
      </c>
      <c r="B172" s="1" t="n">
        <v>44281</v>
      </c>
      <c r="C172" s="1" t="n">
        <v>45939</v>
      </c>
      <c r="D172" t="inlineStr">
        <is>
          <t>VÄSTERBOTTENS LÄN</t>
        </is>
      </c>
      <c r="E172" t="inlineStr">
        <is>
          <t>VINDELN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39425-2022</t>
        </is>
      </c>
      <c r="B173" s="1" t="n">
        <v>44818</v>
      </c>
      <c r="C173" s="1" t="n">
        <v>45939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45939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34563-2022</t>
        </is>
      </c>
      <c r="B175" s="1" t="n">
        <v>44794</v>
      </c>
      <c r="C175" s="1" t="n">
        <v>45939</v>
      </c>
      <c r="D175" t="inlineStr">
        <is>
          <t>VÄSTERBOTTENS LÄN</t>
        </is>
      </c>
      <c r="E175" t="inlineStr">
        <is>
          <t>VINDELN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37475-2021</t>
        </is>
      </c>
      <c r="B176" s="1" t="n">
        <v>44398.90005787037</v>
      </c>
      <c r="C176" s="1" t="n">
        <v>45939</v>
      </c>
      <c r="D176" t="inlineStr">
        <is>
          <t>VÄSTERBOTTENS LÄN</t>
        </is>
      </c>
      <c r="E176" t="inlineStr">
        <is>
          <t>VINDELN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45939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13091-2025</t>
        </is>
      </c>
      <c r="B178" s="1" t="n">
        <v>45734.65295138889</v>
      </c>
      <c r="C178" s="1" t="n">
        <v>45939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40000-2024</t>
        </is>
      </c>
      <c r="B179" s="1" t="n">
        <v>45553.64158564815</v>
      </c>
      <c r="C179" s="1" t="n">
        <v>45939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6516-2022</t>
        </is>
      </c>
      <c r="B180" s="1" t="n">
        <v>44600</v>
      </c>
      <c r="C180" s="1" t="n">
        <v>45939</v>
      </c>
      <c r="D180" t="inlineStr">
        <is>
          <t>VÄSTERBOTTENS LÄN</t>
        </is>
      </c>
      <c r="E180" t="inlineStr">
        <is>
          <t>VINDELN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22553-2022</t>
        </is>
      </c>
      <c r="B181" s="1" t="n">
        <v>44713.93777777778</v>
      </c>
      <c r="C181" s="1" t="n">
        <v>45939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53965-2020</t>
        </is>
      </c>
      <c r="B182" s="1" t="n">
        <v>44123</v>
      </c>
      <c r="C182" s="1" t="n">
        <v>45939</v>
      </c>
      <c r="D182" t="inlineStr">
        <is>
          <t>VÄSTERBOTTENS LÄN</t>
        </is>
      </c>
      <c r="E182" t="inlineStr">
        <is>
          <t>VINDELN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44437-2022</t>
        </is>
      </c>
      <c r="B183" s="1" t="n">
        <v>44839.95413194445</v>
      </c>
      <c r="C183" s="1" t="n">
        <v>45939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41113-2021</t>
        </is>
      </c>
      <c r="B184" s="1" t="n">
        <v>44423.50511574074</v>
      </c>
      <c r="C184" s="1" t="n">
        <v>45939</v>
      </c>
      <c r="D184" t="inlineStr">
        <is>
          <t>VÄSTERBOTTENS LÄN</t>
        </is>
      </c>
      <c r="E184" t="inlineStr">
        <is>
          <t>VINDELN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31323-2021</t>
        </is>
      </c>
      <c r="B185" s="1" t="n">
        <v>44368</v>
      </c>
      <c r="C185" s="1" t="n">
        <v>45939</v>
      </c>
      <c r="D185" t="inlineStr">
        <is>
          <t>VÄSTERBOTTENS LÄN</t>
        </is>
      </c>
      <c r="E185" t="inlineStr">
        <is>
          <t>VINDELN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30990-2021</t>
        </is>
      </c>
      <c r="B186" s="1" t="n">
        <v>44365</v>
      </c>
      <c r="C186" s="1" t="n">
        <v>45939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32435-2024</t>
        </is>
      </c>
      <c r="B187" s="1" t="n">
        <v>45512.92917824074</v>
      </c>
      <c r="C187" s="1" t="n">
        <v>45939</v>
      </c>
      <c r="D187" t="inlineStr">
        <is>
          <t>VÄSTERBOTTENS LÄN</t>
        </is>
      </c>
      <c r="E187" t="inlineStr">
        <is>
          <t>VINDELN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41076-2022</t>
        </is>
      </c>
      <c r="B188" s="1" t="n">
        <v>44825</v>
      </c>
      <c r="C188" s="1" t="n">
        <v>45939</v>
      </c>
      <c r="D188" t="inlineStr">
        <is>
          <t>VÄSTERBOTTENS LÄN</t>
        </is>
      </c>
      <c r="E188" t="inlineStr">
        <is>
          <t>VINDELN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54879-2020</t>
        </is>
      </c>
      <c r="B189" s="1" t="n">
        <v>44126</v>
      </c>
      <c r="C189" s="1" t="n">
        <v>45939</v>
      </c>
      <c r="D189" t="inlineStr">
        <is>
          <t>VÄSTERBOTTENS LÄN</t>
        </is>
      </c>
      <c r="E189" t="inlineStr">
        <is>
          <t>VINDELN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23680-2022</t>
        </is>
      </c>
      <c r="B190" s="1" t="n">
        <v>44721</v>
      </c>
      <c r="C190" s="1" t="n">
        <v>45939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50086-2022</t>
        </is>
      </c>
      <c r="B191" s="1" t="n">
        <v>44860</v>
      </c>
      <c r="C191" s="1" t="n">
        <v>45939</v>
      </c>
      <c r="D191" t="inlineStr">
        <is>
          <t>VÄSTERBOTTENS LÄN</t>
        </is>
      </c>
      <c r="E191" t="inlineStr">
        <is>
          <t>VINDELN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39255-2022</t>
        </is>
      </c>
      <c r="B192" s="1" t="n">
        <v>44817</v>
      </c>
      <c r="C192" s="1" t="n">
        <v>45939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12811-2021</t>
        </is>
      </c>
      <c r="B193" s="1" t="n">
        <v>44270</v>
      </c>
      <c r="C193" s="1" t="n">
        <v>45939</v>
      </c>
      <c r="D193" t="inlineStr">
        <is>
          <t>VÄSTERBOTTENS LÄN</t>
        </is>
      </c>
      <c r="E193" t="inlineStr">
        <is>
          <t>VINDELN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17581-2022</t>
        </is>
      </c>
      <c r="B194" s="1" t="n">
        <v>44679.92644675926</v>
      </c>
      <c r="C194" s="1" t="n">
        <v>45939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11092-2025</t>
        </is>
      </c>
      <c r="B195" s="1" t="n">
        <v>45723.57417824074</v>
      </c>
      <c r="C195" s="1" t="n">
        <v>45939</v>
      </c>
      <c r="D195" t="inlineStr">
        <is>
          <t>VÄSTERBOTTENS LÄN</t>
        </is>
      </c>
      <c r="E195" t="inlineStr">
        <is>
          <t>VINDELN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52019-2022</t>
        </is>
      </c>
      <c r="B196" s="1" t="n">
        <v>44872</v>
      </c>
      <c r="C196" s="1" t="n">
        <v>45939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27665-2022</t>
        </is>
      </c>
      <c r="B197" s="1" t="n">
        <v>44743</v>
      </c>
      <c r="C197" s="1" t="n">
        <v>45939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10162-2025</t>
        </is>
      </c>
      <c r="B198" s="1" t="n">
        <v>45719.64917824074</v>
      </c>
      <c r="C198" s="1" t="n">
        <v>45939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72553-2021</t>
        </is>
      </c>
      <c r="B199" s="1" t="n">
        <v>44545</v>
      </c>
      <c r="C199" s="1" t="n">
        <v>45939</v>
      </c>
      <c r="D199" t="inlineStr">
        <is>
          <t>VÄSTERBOTTENS LÄN</t>
        </is>
      </c>
      <c r="E199" t="inlineStr">
        <is>
          <t>VINDELN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48702-2023</t>
        </is>
      </c>
      <c r="B200" s="1" t="n">
        <v>45208</v>
      </c>
      <c r="C200" s="1" t="n">
        <v>45939</v>
      </c>
      <c r="D200" t="inlineStr">
        <is>
          <t>VÄSTERBOTTENS LÄN</t>
        </is>
      </c>
      <c r="E200" t="inlineStr">
        <is>
          <t>VINDELN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45939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35379-2021</t>
        </is>
      </c>
      <c r="B202" s="1" t="n">
        <v>44384</v>
      </c>
      <c r="C202" s="1" t="n">
        <v>45939</v>
      </c>
      <c r="D202" t="inlineStr">
        <is>
          <t>VÄSTERBOTTENS LÄN</t>
        </is>
      </c>
      <c r="E202" t="inlineStr">
        <is>
          <t>VINDELN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43611-2024</t>
        </is>
      </c>
      <c r="B203" s="1" t="n">
        <v>45569.46443287037</v>
      </c>
      <c r="C203" s="1" t="n">
        <v>45939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34736-2024</t>
        </is>
      </c>
      <c r="B204" s="1" t="n">
        <v>45526</v>
      </c>
      <c r="C204" s="1" t="n">
        <v>45939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12757-2022</t>
        </is>
      </c>
      <c r="B205" s="1" t="n">
        <v>44641</v>
      </c>
      <c r="C205" s="1" t="n">
        <v>45939</v>
      </c>
      <c r="D205" t="inlineStr">
        <is>
          <t>VÄSTERBOTTENS LÄN</t>
        </is>
      </c>
      <c r="E205" t="inlineStr">
        <is>
          <t>VINDELN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51093-2022</t>
        </is>
      </c>
      <c r="B206" s="1" t="n">
        <v>44865</v>
      </c>
      <c r="C206" s="1" t="n">
        <v>45939</v>
      </c>
      <c r="D206" t="inlineStr">
        <is>
          <t>VÄSTERBOTTENS LÄN</t>
        </is>
      </c>
      <c r="E206" t="inlineStr">
        <is>
          <t>VINDELN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47109-2021</t>
        </is>
      </c>
      <c r="B207" s="1" t="n">
        <v>44446</v>
      </c>
      <c r="C207" s="1" t="n">
        <v>45939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47100-2021</t>
        </is>
      </c>
      <c r="B208" s="1" t="n">
        <v>44446.67491898148</v>
      </c>
      <c r="C208" s="1" t="n">
        <v>45939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60871-2023</t>
        </is>
      </c>
      <c r="B209" s="1" t="n">
        <v>45260.96678240741</v>
      </c>
      <c r="C209" s="1" t="n">
        <v>45939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62714-2022</t>
        </is>
      </c>
      <c r="B210" s="1" t="n">
        <v>44925.62908564815</v>
      </c>
      <c r="C210" s="1" t="n">
        <v>45939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62718-2022</t>
        </is>
      </c>
      <c r="B211" s="1" t="n">
        <v>44925.63877314814</v>
      </c>
      <c r="C211" s="1" t="n">
        <v>45939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5368-2024</t>
        </is>
      </c>
      <c r="B212" s="1" t="n">
        <v>45331</v>
      </c>
      <c r="C212" s="1" t="n">
        <v>45939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4059-2025</t>
        </is>
      </c>
      <c r="B213" s="1" t="n">
        <v>45684.62690972222</v>
      </c>
      <c r="C213" s="1" t="n">
        <v>45939</v>
      </c>
      <c r="D213" t="inlineStr">
        <is>
          <t>VÄSTERBOTTENS LÄN</t>
        </is>
      </c>
      <c r="E213" t="inlineStr">
        <is>
          <t>VINDELN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52916-2023</t>
        </is>
      </c>
      <c r="B214" s="1" t="n">
        <v>45226.52811342593</v>
      </c>
      <c r="C214" s="1" t="n">
        <v>45939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41181-2024</t>
        </is>
      </c>
      <c r="B215" s="1" t="n">
        <v>45559.49487268519</v>
      </c>
      <c r="C215" s="1" t="n">
        <v>45939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57579-2024</t>
        </is>
      </c>
      <c r="B216" s="1" t="n">
        <v>45630.47672453704</v>
      </c>
      <c r="C216" s="1" t="n">
        <v>45939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55745-2022</t>
        </is>
      </c>
      <c r="B217" s="1" t="n">
        <v>44886</v>
      </c>
      <c r="C217" s="1" t="n">
        <v>45939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2684-2023</t>
        </is>
      </c>
      <c r="B218" s="1" t="n">
        <v>44944</v>
      </c>
      <c r="C218" s="1" t="n">
        <v>45939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51238-2024</t>
        </is>
      </c>
      <c r="B219" s="1" t="n">
        <v>45603.67048611111</v>
      </c>
      <c r="C219" s="1" t="n">
        <v>45939</v>
      </c>
      <c r="D219" t="inlineStr">
        <is>
          <t>VÄSTERBOTTENS LÄN</t>
        </is>
      </c>
      <c r="E219" t="inlineStr">
        <is>
          <t>VINDELN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36969-2025</t>
        </is>
      </c>
      <c r="B220" s="1" t="n">
        <v>45874.63686342593</v>
      </c>
      <c r="C220" s="1" t="n">
        <v>45939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44014-2025</t>
        </is>
      </c>
      <c r="B221" s="1" t="n">
        <v>45915.469375</v>
      </c>
      <c r="C221" s="1" t="n">
        <v>45939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44227-2025</t>
        </is>
      </c>
      <c r="B222" s="1" t="n">
        <v>45915.64064814815</v>
      </c>
      <c r="C222" s="1" t="n">
        <v>45939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44336-2025</t>
        </is>
      </c>
      <c r="B223" s="1" t="n">
        <v>45916.42311342592</v>
      </c>
      <c r="C223" s="1" t="n">
        <v>45939</v>
      </c>
      <c r="D223" t="inlineStr">
        <is>
          <t>VÄSTERBOTTENS LÄN</t>
        </is>
      </c>
      <c r="E223" t="inlineStr">
        <is>
          <t>VINDELN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44072-2025</t>
        </is>
      </c>
      <c r="B224" s="1" t="n">
        <v>45915.54738425926</v>
      </c>
      <c r="C224" s="1" t="n">
        <v>45939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44339-2025</t>
        </is>
      </c>
      <c r="B225" s="1" t="n">
        <v>45916.42990740741</v>
      </c>
      <c r="C225" s="1" t="n">
        <v>45939</v>
      </c>
      <c r="D225" t="inlineStr">
        <is>
          <t>VÄSTERBOTTENS LÄN</t>
        </is>
      </c>
      <c r="E225" t="inlineStr">
        <is>
          <t>VINDELN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60810-2023</t>
        </is>
      </c>
      <c r="B226" s="1" t="n">
        <v>45260</v>
      </c>
      <c r="C226" s="1" t="n">
        <v>45939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60859-2023</t>
        </is>
      </c>
      <c r="B227" s="1" t="n">
        <v>45260</v>
      </c>
      <c r="C227" s="1" t="n">
        <v>45939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44115-2025</t>
        </is>
      </c>
      <c r="B228" s="1" t="n">
        <v>45915.57604166667</v>
      </c>
      <c r="C228" s="1" t="n">
        <v>45939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44157-2025</t>
        </is>
      </c>
      <c r="B229" s="1" t="n">
        <v>45915.59598379629</v>
      </c>
      <c r="C229" s="1" t="n">
        <v>45939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44169-2025</t>
        </is>
      </c>
      <c r="B230" s="1" t="n">
        <v>45915.59857638889</v>
      </c>
      <c r="C230" s="1" t="n">
        <v>45939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13830-2024</t>
        </is>
      </c>
      <c r="B231" s="1" t="n">
        <v>45390</v>
      </c>
      <c r="C231" s="1" t="n">
        <v>45939</v>
      </c>
      <c r="D231" t="inlineStr">
        <is>
          <t>VÄSTERBOTTENS LÄN</t>
        </is>
      </c>
      <c r="E231" t="inlineStr">
        <is>
          <t>VINDELN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44275-2025</t>
        </is>
      </c>
      <c r="B232" s="1" t="n">
        <v>45916.34018518519</v>
      </c>
      <c r="C232" s="1" t="n">
        <v>45939</v>
      </c>
      <c r="D232" t="inlineStr">
        <is>
          <t>VÄSTERBOTTENS LÄN</t>
        </is>
      </c>
      <c r="E232" t="inlineStr">
        <is>
          <t>VINDELN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61858-2022</t>
        </is>
      </c>
      <c r="B233" s="1" t="n">
        <v>44917</v>
      </c>
      <c r="C233" s="1" t="n">
        <v>45939</v>
      </c>
      <c r="D233" t="inlineStr">
        <is>
          <t>VÄSTERBOTTENS LÄN</t>
        </is>
      </c>
      <c r="E233" t="inlineStr">
        <is>
          <t>VINDELN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20550-2024</t>
        </is>
      </c>
      <c r="B234" s="1" t="n">
        <v>45436</v>
      </c>
      <c r="C234" s="1" t="n">
        <v>45939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44047-2025</t>
        </is>
      </c>
      <c r="B235" s="1" t="n">
        <v>45915.49825231481</v>
      </c>
      <c r="C235" s="1" t="n">
        <v>45939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44048-2025</t>
        </is>
      </c>
      <c r="B236" s="1" t="n">
        <v>45915.49835648148</v>
      </c>
      <c r="C236" s="1" t="n">
        <v>45939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44050-2025</t>
        </is>
      </c>
      <c r="B237" s="1" t="n">
        <v>45915.50104166667</v>
      </c>
      <c r="C237" s="1" t="n">
        <v>45939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44147-2025</t>
        </is>
      </c>
      <c r="B238" s="1" t="n">
        <v>45915.59162037037</v>
      </c>
      <c r="C238" s="1" t="n">
        <v>45939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41663-2024</t>
        </is>
      </c>
      <c r="B239" s="1" t="n">
        <v>45560.64923611111</v>
      </c>
      <c r="C239" s="1" t="n">
        <v>45939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41695-2024</t>
        </is>
      </c>
      <c r="B240" s="1" t="n">
        <v>45560.68400462963</v>
      </c>
      <c r="C240" s="1" t="n">
        <v>45939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44109-2025</t>
        </is>
      </c>
      <c r="B241" s="1" t="n">
        <v>45915.57237268519</v>
      </c>
      <c r="C241" s="1" t="n">
        <v>45939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44099-2025</t>
        </is>
      </c>
      <c r="B242" s="1" t="n">
        <v>45915.56696759259</v>
      </c>
      <c r="C242" s="1" t="n">
        <v>45939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44186-2025</t>
        </is>
      </c>
      <c r="B243" s="1" t="n">
        <v>45915.61269675926</v>
      </c>
      <c r="C243" s="1" t="n">
        <v>45939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44267-2025</t>
        </is>
      </c>
      <c r="B244" s="1" t="n">
        <v>45916.3115625</v>
      </c>
      <c r="C244" s="1" t="n">
        <v>45939</v>
      </c>
      <c r="D244" t="inlineStr">
        <is>
          <t>VÄSTERBOTTENS LÄN</t>
        </is>
      </c>
      <c r="E244" t="inlineStr">
        <is>
          <t>VINDELN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44176-2025</t>
        </is>
      </c>
      <c r="B245" s="1" t="n">
        <v>45915.6065162037</v>
      </c>
      <c r="C245" s="1" t="n">
        <v>45939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44122-2025</t>
        </is>
      </c>
      <c r="B246" s="1" t="n">
        <v>45915.5796412037</v>
      </c>
      <c r="C246" s="1" t="n">
        <v>45939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37134-2025</t>
        </is>
      </c>
      <c r="B247" s="1" t="n">
        <v>45875.54960648148</v>
      </c>
      <c r="C247" s="1" t="n">
        <v>45939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23435-2024</t>
        </is>
      </c>
      <c r="B248" s="1" t="n">
        <v>45453</v>
      </c>
      <c r="C248" s="1" t="n">
        <v>45939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23438-2024</t>
        </is>
      </c>
      <c r="B249" s="1" t="n">
        <v>45453.63103009259</v>
      </c>
      <c r="C249" s="1" t="n">
        <v>45939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37109-2025</t>
        </is>
      </c>
      <c r="B250" s="1" t="n">
        <v>45875.49266203704</v>
      </c>
      <c r="C250" s="1" t="n">
        <v>45939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37130-2025</t>
        </is>
      </c>
      <c r="B251" s="1" t="n">
        <v>45875.54311342593</v>
      </c>
      <c r="C251" s="1" t="n">
        <v>45939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19931-2024</t>
        </is>
      </c>
      <c r="B252" s="1" t="n">
        <v>45433.59936342593</v>
      </c>
      <c r="C252" s="1" t="n">
        <v>45939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12127-2023</t>
        </is>
      </c>
      <c r="B253" s="1" t="n">
        <v>44995</v>
      </c>
      <c r="C253" s="1" t="n">
        <v>45939</v>
      </c>
      <c r="D253" t="inlineStr">
        <is>
          <t>VÄSTERBOTTENS LÄN</t>
        </is>
      </c>
      <c r="E253" t="inlineStr">
        <is>
          <t>VINDELN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44833-2025</t>
        </is>
      </c>
      <c r="B254" s="1" t="n">
        <v>45918.40694444445</v>
      </c>
      <c r="C254" s="1" t="n">
        <v>45939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56821-2024</t>
        </is>
      </c>
      <c r="B255" s="1" t="n">
        <v>45628.48769675926</v>
      </c>
      <c r="C255" s="1" t="n">
        <v>45939</v>
      </c>
      <c r="D255" t="inlineStr">
        <is>
          <t>VÄSTERBOTTENS LÄN</t>
        </is>
      </c>
      <c r="E255" t="inlineStr">
        <is>
          <t>VINDELN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37174-2025</t>
        </is>
      </c>
      <c r="B256" s="1" t="n">
        <v>45875.61515046296</v>
      </c>
      <c r="C256" s="1" t="n">
        <v>45939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37175-2025</t>
        </is>
      </c>
      <c r="B257" s="1" t="n">
        <v>45875.61523148148</v>
      </c>
      <c r="C257" s="1" t="n">
        <v>45939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52460-2023</t>
        </is>
      </c>
      <c r="B258" s="1" t="n">
        <v>45225.40269675926</v>
      </c>
      <c r="C258" s="1" t="n">
        <v>45939</v>
      </c>
      <c r="D258" t="inlineStr">
        <is>
          <t>VÄSTERBOTTENS LÄN</t>
        </is>
      </c>
      <c r="E258" t="inlineStr">
        <is>
          <t>VINDELN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16179-2023</t>
        </is>
      </c>
      <c r="B259" s="1" t="n">
        <v>45027.92476851852</v>
      </c>
      <c r="C259" s="1" t="n">
        <v>45939</v>
      </c>
      <c r="D259" t="inlineStr">
        <is>
          <t>VÄSTERBOTTENS LÄN</t>
        </is>
      </c>
      <c r="E259" t="inlineStr">
        <is>
          <t>VINDELN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57819-2023</t>
        </is>
      </c>
      <c r="B260" s="1" t="n">
        <v>45244</v>
      </c>
      <c r="C260" s="1" t="n">
        <v>45939</v>
      </c>
      <c r="D260" t="inlineStr">
        <is>
          <t>VÄSTERBOTTENS LÄN</t>
        </is>
      </c>
      <c r="E260" t="inlineStr">
        <is>
          <t>VINDELN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37387-2024</t>
        </is>
      </c>
      <c r="B261" s="1" t="n">
        <v>45540.58892361111</v>
      </c>
      <c r="C261" s="1" t="n">
        <v>45939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37176-2025</t>
        </is>
      </c>
      <c r="B262" s="1" t="n">
        <v>45875.61525462963</v>
      </c>
      <c r="C262" s="1" t="n">
        <v>45939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37193-2025</t>
        </is>
      </c>
      <c r="B263" s="1" t="n">
        <v>45875.65556712963</v>
      </c>
      <c r="C263" s="1" t="n">
        <v>45939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22640-2024</t>
        </is>
      </c>
      <c r="B264" s="1" t="n">
        <v>45447</v>
      </c>
      <c r="C264" s="1" t="n">
        <v>45939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37162-2025</t>
        </is>
      </c>
      <c r="B265" s="1" t="n">
        <v>45875.60013888889</v>
      </c>
      <c r="C265" s="1" t="n">
        <v>45939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44824-2025</t>
        </is>
      </c>
      <c r="B266" s="1" t="n">
        <v>45918.38581018519</v>
      </c>
      <c r="C266" s="1" t="n">
        <v>45939</v>
      </c>
      <c r="D266" t="inlineStr">
        <is>
          <t>VÄSTERBOTTENS LÄN</t>
        </is>
      </c>
      <c r="E266" t="inlineStr">
        <is>
          <t>VINDELN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45071-2025</t>
        </is>
      </c>
      <c r="B267" s="1" t="n">
        <v>45919.35438657407</v>
      </c>
      <c r="C267" s="1" t="n">
        <v>45939</v>
      </c>
      <c r="D267" t="inlineStr">
        <is>
          <t>VÄSTERBOTTENS LÄN</t>
        </is>
      </c>
      <c r="E267" t="inlineStr">
        <is>
          <t>VINDELN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23954-2024</t>
        </is>
      </c>
      <c r="B268" s="1" t="n">
        <v>45455</v>
      </c>
      <c r="C268" s="1" t="n">
        <v>45939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23955-2024</t>
        </is>
      </c>
      <c r="B269" s="1" t="n">
        <v>45455</v>
      </c>
      <c r="C269" s="1" t="n">
        <v>45939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15408-2023</t>
        </is>
      </c>
      <c r="B270" s="1" t="n">
        <v>45019.66755787037</v>
      </c>
      <c r="C270" s="1" t="n">
        <v>45939</v>
      </c>
      <c r="D270" t="inlineStr">
        <is>
          <t>VÄSTERBOTTENS LÄN</t>
        </is>
      </c>
      <c r="E270" t="inlineStr">
        <is>
          <t>VINDELN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536-2024</t>
        </is>
      </c>
      <c r="B271" s="1" t="n">
        <v>45299</v>
      </c>
      <c r="C271" s="1" t="n">
        <v>45939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18152-2024</t>
        </is>
      </c>
      <c r="B272" s="1" t="n">
        <v>45420</v>
      </c>
      <c r="C272" s="1" t="n">
        <v>45939</v>
      </c>
      <c r="D272" t="inlineStr">
        <is>
          <t>VÄSTERBOTTENS LÄN</t>
        </is>
      </c>
      <c r="E272" t="inlineStr">
        <is>
          <t>VINDELN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34830-2021</t>
        </is>
      </c>
      <c r="B273" s="1" t="n">
        <v>44383.37496527778</v>
      </c>
      <c r="C273" s="1" t="n">
        <v>45939</v>
      </c>
      <c r="D273" t="inlineStr">
        <is>
          <t>VÄSTERBOTTENS LÄN</t>
        </is>
      </c>
      <c r="E273" t="inlineStr">
        <is>
          <t>VINDELN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45149-2025</t>
        </is>
      </c>
      <c r="B274" s="1" t="n">
        <v>45919.47009259259</v>
      </c>
      <c r="C274" s="1" t="n">
        <v>45939</v>
      </c>
      <c r="D274" t="inlineStr">
        <is>
          <t>VÄSTERBOTTENS LÄN</t>
        </is>
      </c>
      <c r="E274" t="inlineStr">
        <is>
          <t>VINDELN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49582-2024</t>
        </is>
      </c>
      <c r="B275" s="1" t="n">
        <v>45596</v>
      </c>
      <c r="C275" s="1" t="n">
        <v>45939</v>
      </c>
      <c r="D275" t="inlineStr">
        <is>
          <t>VÄSTERBOTTENS LÄN</t>
        </is>
      </c>
      <c r="E275" t="inlineStr">
        <is>
          <t>VINDELN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49583-2024</t>
        </is>
      </c>
      <c r="B276" s="1" t="n">
        <v>45596.54178240741</v>
      </c>
      <c r="C276" s="1" t="n">
        <v>45939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55414-2024</t>
        </is>
      </c>
      <c r="B277" s="1" t="n">
        <v>45622.37261574074</v>
      </c>
      <c r="C277" s="1" t="n">
        <v>45939</v>
      </c>
      <c r="D277" t="inlineStr">
        <is>
          <t>VÄSTERBOTTENS LÄN</t>
        </is>
      </c>
      <c r="E277" t="inlineStr">
        <is>
          <t>VINDELN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50620-2024</t>
        </is>
      </c>
      <c r="B278" s="1" t="n">
        <v>45601</v>
      </c>
      <c r="C278" s="1" t="n">
        <v>45939</v>
      </c>
      <c r="D278" t="inlineStr">
        <is>
          <t>VÄSTERBOTTENS LÄN</t>
        </is>
      </c>
      <c r="E278" t="inlineStr">
        <is>
          <t>VINDELN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25656-2024</t>
        </is>
      </c>
      <c r="B279" s="1" t="n">
        <v>45463.68541666667</v>
      </c>
      <c r="C279" s="1" t="n">
        <v>45939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58660-2023</t>
        </is>
      </c>
      <c r="B280" s="1" t="n">
        <v>45251</v>
      </c>
      <c r="C280" s="1" t="n">
        <v>45939</v>
      </c>
      <c r="D280" t="inlineStr">
        <is>
          <t>VÄSTERBOTTENS LÄN</t>
        </is>
      </c>
      <c r="E280" t="inlineStr">
        <is>
          <t>VINDELN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23463-2024</t>
        </is>
      </c>
      <c r="B281" s="1" t="n">
        <v>45453</v>
      </c>
      <c r="C281" s="1" t="n">
        <v>45939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60672-2022</t>
        </is>
      </c>
      <c r="B282" s="1" t="n">
        <v>44911.93910879629</v>
      </c>
      <c r="C282" s="1" t="n">
        <v>45939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58581-2022</t>
        </is>
      </c>
      <c r="B283" s="1" t="n">
        <v>44902</v>
      </c>
      <c r="C283" s="1" t="n">
        <v>45939</v>
      </c>
      <c r="D283" t="inlineStr">
        <is>
          <t>VÄSTERBOTTENS LÄN</t>
        </is>
      </c>
      <c r="E283" t="inlineStr">
        <is>
          <t>VINDELN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37697-2025</t>
        </is>
      </c>
      <c r="B284" s="1" t="n">
        <v>45880.5738425926</v>
      </c>
      <c r="C284" s="1" t="n">
        <v>45939</v>
      </c>
      <c r="D284" t="inlineStr">
        <is>
          <t>VÄSTERBOTTENS LÄN</t>
        </is>
      </c>
      <c r="E284" t="inlineStr">
        <is>
          <t>VINDELN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495-2024</t>
        </is>
      </c>
      <c r="B285" s="1" t="n">
        <v>45299</v>
      </c>
      <c r="C285" s="1" t="n">
        <v>45939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12837-2023</t>
        </is>
      </c>
      <c r="B286" s="1" t="n">
        <v>45001</v>
      </c>
      <c r="C286" s="1" t="n">
        <v>45939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45144-2025</t>
        </is>
      </c>
      <c r="B287" s="1" t="n">
        <v>45919.46461805556</v>
      </c>
      <c r="C287" s="1" t="n">
        <v>45939</v>
      </c>
      <c r="D287" t="inlineStr">
        <is>
          <t>VÄSTERBOTTENS LÄN</t>
        </is>
      </c>
      <c r="E287" t="inlineStr">
        <is>
          <t>VINDELN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23562-2024</t>
        </is>
      </c>
      <c r="B288" s="1" t="n">
        <v>45453</v>
      </c>
      <c r="C288" s="1" t="n">
        <v>45939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62583-2022</t>
        </is>
      </c>
      <c r="B289" s="1" t="n">
        <v>44924</v>
      </c>
      <c r="C289" s="1" t="n">
        <v>45939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57076-2022</t>
        </is>
      </c>
      <c r="B290" s="1" t="n">
        <v>44889</v>
      </c>
      <c r="C290" s="1" t="n">
        <v>45939</v>
      </c>
      <c r="D290" t="inlineStr">
        <is>
          <t>VÄSTERBOTTENS LÄN</t>
        </is>
      </c>
      <c r="E290" t="inlineStr">
        <is>
          <t>VINDELN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51184-2023</t>
        </is>
      </c>
      <c r="B291" s="1" t="n">
        <v>45219.40083333333</v>
      </c>
      <c r="C291" s="1" t="n">
        <v>45939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28825-2023</t>
        </is>
      </c>
      <c r="B292" s="1" t="n">
        <v>45104.39052083333</v>
      </c>
      <c r="C292" s="1" t="n">
        <v>45939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60390-2024</t>
        </is>
      </c>
      <c r="B293" s="1" t="n">
        <v>45643.49013888889</v>
      </c>
      <c r="C293" s="1" t="n">
        <v>45939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32678-2024</t>
        </is>
      </c>
      <c r="B294" s="1" t="n">
        <v>45514.96238425926</v>
      </c>
      <c r="C294" s="1" t="n">
        <v>45939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33120-2023</t>
        </is>
      </c>
      <c r="B295" s="1" t="n">
        <v>45114</v>
      </c>
      <c r="C295" s="1" t="n">
        <v>45939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45345-2024</t>
        </is>
      </c>
      <c r="B296" s="1" t="n">
        <v>45576.4734375</v>
      </c>
      <c r="C296" s="1" t="n">
        <v>45939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15295-2022</t>
        </is>
      </c>
      <c r="B297" s="1" t="n">
        <v>44659</v>
      </c>
      <c r="C297" s="1" t="n">
        <v>45939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45079-2025</t>
        </is>
      </c>
      <c r="B298" s="1" t="n">
        <v>45919.36539351852</v>
      </c>
      <c r="C298" s="1" t="n">
        <v>45939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45087-2025</t>
        </is>
      </c>
      <c r="B299" s="1" t="n">
        <v>45919.37033564815</v>
      </c>
      <c r="C299" s="1" t="n">
        <v>45939</v>
      </c>
      <c r="D299" t="inlineStr">
        <is>
          <t>VÄSTERBOTTENS LÄN</t>
        </is>
      </c>
      <c r="E299" t="inlineStr">
        <is>
          <t>VINDELN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6436-2024</t>
        </is>
      </c>
      <c r="B300" s="1" t="n">
        <v>45338</v>
      </c>
      <c r="C300" s="1" t="n">
        <v>45939</v>
      </c>
      <c r="D300" t="inlineStr">
        <is>
          <t>VÄSTERBOTTENS LÄN</t>
        </is>
      </c>
      <c r="E300" t="inlineStr">
        <is>
          <t>VINDELN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24256-2024</t>
        </is>
      </c>
      <c r="B301" s="1" t="n">
        <v>45457</v>
      </c>
      <c r="C301" s="1" t="n">
        <v>45939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23561-2024</t>
        </is>
      </c>
      <c r="B302" s="1" t="n">
        <v>45453.95478009259</v>
      </c>
      <c r="C302" s="1" t="n">
        <v>45939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40964-2024</t>
        </is>
      </c>
      <c r="B303" s="1" t="n">
        <v>45558.67090277778</v>
      </c>
      <c r="C303" s="1" t="n">
        <v>45939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2425-2025</t>
        </is>
      </c>
      <c r="B304" s="1" t="n">
        <v>45674</v>
      </c>
      <c r="C304" s="1" t="n">
        <v>45939</v>
      </c>
      <c r="D304" t="inlineStr">
        <is>
          <t>VÄSTERBOTTENS LÄN</t>
        </is>
      </c>
      <c r="E304" t="inlineStr">
        <is>
          <t>VINDELN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35839-2024</t>
        </is>
      </c>
      <c r="B305" s="1" t="n">
        <v>45532.74556712963</v>
      </c>
      <c r="C305" s="1" t="n">
        <v>45939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61024-2024</t>
        </is>
      </c>
      <c r="B306" s="1" t="n">
        <v>45645.45579861111</v>
      </c>
      <c r="C306" s="1" t="n">
        <v>45939</v>
      </c>
      <c r="D306" t="inlineStr">
        <is>
          <t>VÄSTERBOTTENS LÄN</t>
        </is>
      </c>
      <c r="E306" t="inlineStr">
        <is>
          <t>VINDELN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36168-2024</t>
        </is>
      </c>
      <c r="B307" s="1" t="n">
        <v>45534.40083333333</v>
      </c>
      <c r="C307" s="1" t="n">
        <v>45939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58699-2022</t>
        </is>
      </c>
      <c r="B308" s="1" t="n">
        <v>44902</v>
      </c>
      <c r="C308" s="1" t="n">
        <v>45939</v>
      </c>
      <c r="D308" t="inlineStr">
        <is>
          <t>VÄSTERBOTTENS LÄN</t>
        </is>
      </c>
      <c r="E308" t="inlineStr">
        <is>
          <t>VINDELN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37466-2025</t>
        </is>
      </c>
      <c r="B309" s="1" t="n">
        <v>45877.57743055555</v>
      </c>
      <c r="C309" s="1" t="n">
        <v>45939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62700-2022</t>
        </is>
      </c>
      <c r="B310" s="1" t="n">
        <v>44925.59396990741</v>
      </c>
      <c r="C310" s="1" t="n">
        <v>45939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26232-2024</t>
        </is>
      </c>
      <c r="B311" s="1" t="n">
        <v>45468</v>
      </c>
      <c r="C311" s="1" t="n">
        <v>45939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27582-2024</t>
        </is>
      </c>
      <c r="B312" s="1" t="n">
        <v>45474</v>
      </c>
      <c r="C312" s="1" t="n">
        <v>45939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33657-2024</t>
        </is>
      </c>
      <c r="B313" s="1" t="n">
        <v>45520.46878472222</v>
      </c>
      <c r="C313" s="1" t="n">
        <v>45939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46153-2025</t>
        </is>
      </c>
      <c r="B314" s="1" t="n">
        <v>45924.61528935185</v>
      </c>
      <c r="C314" s="1" t="n">
        <v>45939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40.1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8270-2023</t>
        </is>
      </c>
      <c r="B315" s="1" t="n">
        <v>44971</v>
      </c>
      <c r="C315" s="1" t="n">
        <v>45939</v>
      </c>
      <c r="D315" t="inlineStr">
        <is>
          <t>VÄSTERBOTTENS LÄN</t>
        </is>
      </c>
      <c r="E315" t="inlineStr">
        <is>
          <t>VINDELN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46197-2025</t>
        </is>
      </c>
      <c r="B316" s="1" t="n">
        <v>45924.68833333333</v>
      </c>
      <c r="C316" s="1" t="n">
        <v>45939</v>
      </c>
      <c r="D316" t="inlineStr">
        <is>
          <t>VÄSTERBOTTENS LÄN</t>
        </is>
      </c>
      <c r="E316" t="inlineStr">
        <is>
          <t>VINDELN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15577-2023</t>
        </is>
      </c>
      <c r="B317" s="1" t="n">
        <v>45019</v>
      </c>
      <c r="C317" s="1" t="n">
        <v>45939</v>
      </c>
      <c r="D317" t="inlineStr">
        <is>
          <t>VÄSTERBOTTENS LÄN</t>
        </is>
      </c>
      <c r="E317" t="inlineStr">
        <is>
          <t>VINDELN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42015-2023</t>
        </is>
      </c>
      <c r="B318" s="1" t="n">
        <v>45174</v>
      </c>
      <c r="C318" s="1" t="n">
        <v>45939</v>
      </c>
      <c r="D318" t="inlineStr">
        <is>
          <t>VÄSTERBOTTENS LÄN</t>
        </is>
      </c>
      <c r="E318" t="inlineStr">
        <is>
          <t>VINDELN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10167-2021</t>
        </is>
      </c>
      <c r="B319" s="1" t="n">
        <v>44256</v>
      </c>
      <c r="C319" s="1" t="n">
        <v>45939</v>
      </c>
      <c r="D319" t="inlineStr">
        <is>
          <t>VÄSTERBOTTENS LÄN</t>
        </is>
      </c>
      <c r="E319" t="inlineStr">
        <is>
          <t>VINDELN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46206-2025</t>
        </is>
      </c>
      <c r="B320" s="1" t="n">
        <v>45924.7058912037</v>
      </c>
      <c r="C320" s="1" t="n">
        <v>45939</v>
      </c>
      <c r="D320" t="inlineStr">
        <is>
          <t>VÄSTERBOTTENS LÄN</t>
        </is>
      </c>
      <c r="E320" t="inlineStr">
        <is>
          <t>VINDELN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46208-2025</t>
        </is>
      </c>
      <c r="B321" s="1" t="n">
        <v>45924.70636574074</v>
      </c>
      <c r="C321" s="1" t="n">
        <v>45939</v>
      </c>
      <c r="D321" t="inlineStr">
        <is>
          <t>VÄSTERBOTTENS LÄN</t>
        </is>
      </c>
      <c r="E321" t="inlineStr">
        <is>
          <t>VINDELN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46105-2022</t>
        </is>
      </c>
      <c r="B322" s="1" t="n">
        <v>44845</v>
      </c>
      <c r="C322" s="1" t="n">
        <v>45939</v>
      </c>
      <c r="D322" t="inlineStr">
        <is>
          <t>VÄSTERBOTTENS LÄN</t>
        </is>
      </c>
      <c r="E322" t="inlineStr">
        <is>
          <t>VINDELN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33583-2025</t>
        </is>
      </c>
      <c r="B323" s="1" t="n">
        <v>45841.5943287037</v>
      </c>
      <c r="C323" s="1" t="n">
        <v>45939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41519-2024</t>
        </is>
      </c>
      <c r="B324" s="1" t="n">
        <v>45560.47798611111</v>
      </c>
      <c r="C324" s="1" t="n">
        <v>45939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1869-2023</t>
        </is>
      </c>
      <c r="B325" s="1" t="n">
        <v>44938.93825231482</v>
      </c>
      <c r="C325" s="1" t="n">
        <v>45939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14697-2024</t>
        </is>
      </c>
      <c r="B326" s="1" t="n">
        <v>45397.48680555556</v>
      </c>
      <c r="C326" s="1" t="n">
        <v>45939</v>
      </c>
      <c r="D326" t="inlineStr">
        <is>
          <t>VÄSTERBOTTENS LÄN</t>
        </is>
      </c>
      <c r="E326" t="inlineStr">
        <is>
          <t>VINDELN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41441-2024</t>
        </is>
      </c>
      <c r="B327" s="1" t="n">
        <v>45560.38535879629</v>
      </c>
      <c r="C327" s="1" t="n">
        <v>45939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53967-2024</t>
        </is>
      </c>
      <c r="B328" s="1" t="n">
        <v>45616.31673611111</v>
      </c>
      <c r="C328" s="1" t="n">
        <v>45939</v>
      </c>
      <c r="D328" t="inlineStr">
        <is>
          <t>VÄSTERBOTTENS LÄN</t>
        </is>
      </c>
      <c r="E328" t="inlineStr">
        <is>
          <t>VINDELN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25652-2024</t>
        </is>
      </c>
      <c r="B329" s="1" t="n">
        <v>45463</v>
      </c>
      <c r="C329" s="1" t="n">
        <v>45939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33764-2024</t>
        </is>
      </c>
      <c r="B330" s="1" t="n">
        <v>45520.57090277778</v>
      </c>
      <c r="C330" s="1" t="n">
        <v>45939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38154-2025</t>
        </is>
      </c>
      <c r="B331" s="1" t="n">
        <v>45882.59900462963</v>
      </c>
      <c r="C331" s="1" t="n">
        <v>45939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Naturvårdsverket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38166-2025</t>
        </is>
      </c>
      <c r="B332" s="1" t="n">
        <v>45882.63100694444</v>
      </c>
      <c r="C332" s="1" t="n">
        <v>45939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Naturvårdsverket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23525-2021</t>
        </is>
      </c>
      <c r="B333" s="1" t="n">
        <v>44334.33274305556</v>
      </c>
      <c r="C333" s="1" t="n">
        <v>45939</v>
      </c>
      <c r="D333" t="inlineStr">
        <is>
          <t>VÄSTERBOTTENS LÄN</t>
        </is>
      </c>
      <c r="E333" t="inlineStr">
        <is>
          <t>VINDELN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46210-2025</t>
        </is>
      </c>
      <c r="B334" s="1" t="n">
        <v>45924.7065625</v>
      </c>
      <c r="C334" s="1" t="n">
        <v>45939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46196-2025</t>
        </is>
      </c>
      <c r="B335" s="1" t="n">
        <v>45924.6880787037</v>
      </c>
      <c r="C335" s="1" t="n">
        <v>45939</v>
      </c>
      <c r="D335" t="inlineStr">
        <is>
          <t>VÄSTERBOTTENS LÄN</t>
        </is>
      </c>
      <c r="E335" t="inlineStr">
        <is>
          <t>VINDELN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13439-2024</t>
        </is>
      </c>
      <c r="B336" s="1" t="n">
        <v>45387</v>
      </c>
      <c r="C336" s="1" t="n">
        <v>45939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38968-2023</t>
        </is>
      </c>
      <c r="B337" s="1" t="n">
        <v>45163.63506944444</v>
      </c>
      <c r="C337" s="1" t="n">
        <v>45939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46207-2025</t>
        </is>
      </c>
      <c r="B338" s="1" t="n">
        <v>45924.70613425926</v>
      </c>
      <c r="C338" s="1" t="n">
        <v>45939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38117-2025</t>
        </is>
      </c>
      <c r="B339" s="1" t="n">
        <v>45882.53344907407</v>
      </c>
      <c r="C339" s="1" t="n">
        <v>45939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32677-2024</t>
        </is>
      </c>
      <c r="B340" s="1" t="n">
        <v>45514.96219907407</v>
      </c>
      <c r="C340" s="1" t="n">
        <v>45939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32679-2024</t>
        </is>
      </c>
      <c r="B341" s="1" t="n">
        <v>45514.96258101852</v>
      </c>
      <c r="C341" s="1" t="n">
        <v>45939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32680-2024</t>
        </is>
      </c>
      <c r="B342" s="1" t="n">
        <v>45514.96278935186</v>
      </c>
      <c r="C342" s="1" t="n">
        <v>45939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13730-2025</t>
        </is>
      </c>
      <c r="B343" s="1" t="n">
        <v>45737.38648148148</v>
      </c>
      <c r="C343" s="1" t="n">
        <v>45939</v>
      </c>
      <c r="D343" t="inlineStr">
        <is>
          <t>VÄSTERBOTTENS LÄN</t>
        </is>
      </c>
      <c r="E343" t="inlineStr">
        <is>
          <t>VINDELN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5741-2023</t>
        </is>
      </c>
      <c r="B344" s="1" t="n">
        <v>44962</v>
      </c>
      <c r="C344" s="1" t="n">
        <v>45939</v>
      </c>
      <c r="D344" t="inlineStr">
        <is>
          <t>VÄSTERBOTTENS LÄN</t>
        </is>
      </c>
      <c r="E344" t="inlineStr">
        <is>
          <t>VINDELN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1680-2024</t>
        </is>
      </c>
      <c r="B345" s="1" t="n">
        <v>45306.97434027777</v>
      </c>
      <c r="C345" s="1" t="n">
        <v>45939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46114-2025</t>
        </is>
      </c>
      <c r="B346" s="1" t="n">
        <v>45924</v>
      </c>
      <c r="C346" s="1" t="n">
        <v>45939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60128-2024</t>
        </is>
      </c>
      <c r="B347" s="1" t="n">
        <v>45639</v>
      </c>
      <c r="C347" s="1" t="n">
        <v>45939</v>
      </c>
      <c r="D347" t="inlineStr">
        <is>
          <t>VÄSTERBOTTENS LÄN</t>
        </is>
      </c>
      <c r="E347" t="inlineStr">
        <is>
          <t>VINDELN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20600-2024</t>
        </is>
      </c>
      <c r="B348" s="1" t="n">
        <v>45436</v>
      </c>
      <c r="C348" s="1" t="n">
        <v>45939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36268-2023</t>
        </is>
      </c>
      <c r="B349" s="1" t="n">
        <v>45151.94431712963</v>
      </c>
      <c r="C349" s="1" t="n">
        <v>45939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32672-2022</t>
        </is>
      </c>
      <c r="B350" s="1" t="n">
        <v>44783.54429398148</v>
      </c>
      <c r="C350" s="1" t="n">
        <v>45939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49275-2023</t>
        </is>
      </c>
      <c r="B351" s="1" t="n">
        <v>45210</v>
      </c>
      <c r="C351" s="1" t="n">
        <v>45939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31762-2024</t>
        </is>
      </c>
      <c r="B352" s="1" t="n">
        <v>45509.45523148148</v>
      </c>
      <c r="C352" s="1" t="n">
        <v>45939</v>
      </c>
      <c r="D352" t="inlineStr">
        <is>
          <t>VÄSTERBOTTENS LÄN</t>
        </is>
      </c>
      <c r="E352" t="inlineStr">
        <is>
          <t>VINDELN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46241-2025</t>
        </is>
      </c>
      <c r="B353" s="1" t="n">
        <v>45925</v>
      </c>
      <c r="C353" s="1" t="n">
        <v>45939</v>
      </c>
      <c r="D353" t="inlineStr">
        <is>
          <t>VÄSTERBOTTENS LÄN</t>
        </is>
      </c>
      <c r="E353" t="inlineStr">
        <is>
          <t>VINDELN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56104-2022</t>
        </is>
      </c>
      <c r="B354" s="1" t="n">
        <v>44889</v>
      </c>
      <c r="C354" s="1" t="n">
        <v>45939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57868-2023</t>
        </is>
      </c>
      <c r="B355" s="1" t="n">
        <v>45247.45697916667</v>
      </c>
      <c r="C355" s="1" t="n">
        <v>45939</v>
      </c>
      <c r="D355" t="inlineStr">
        <is>
          <t>VÄSTERBOTTENS LÄN</t>
        </is>
      </c>
      <c r="E355" t="inlineStr">
        <is>
          <t>VINDELN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45703-2021</t>
        </is>
      </c>
      <c r="B356" s="1" t="n">
        <v>44441</v>
      </c>
      <c r="C356" s="1" t="n">
        <v>45939</v>
      </c>
      <c r="D356" t="inlineStr">
        <is>
          <t>VÄSTERBOTTENS LÄN</t>
        </is>
      </c>
      <c r="E356" t="inlineStr">
        <is>
          <t>VINDELN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23563-2024</t>
        </is>
      </c>
      <c r="B357" s="1" t="n">
        <v>45453</v>
      </c>
      <c r="C357" s="1" t="n">
        <v>45939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62605-2023</t>
        </is>
      </c>
      <c r="B358" s="1" t="n">
        <v>45267</v>
      </c>
      <c r="C358" s="1" t="n">
        <v>45939</v>
      </c>
      <c r="D358" t="inlineStr">
        <is>
          <t>VÄSTERBOTTENS LÄN</t>
        </is>
      </c>
      <c r="E358" t="inlineStr">
        <is>
          <t>VINDELN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25670-2024</t>
        </is>
      </c>
      <c r="B359" s="1" t="n">
        <v>45463</v>
      </c>
      <c r="C359" s="1" t="n">
        <v>45939</v>
      </c>
      <c r="D359" t="inlineStr">
        <is>
          <t>VÄSTERBOTTENS LÄN</t>
        </is>
      </c>
      <c r="E359" t="inlineStr">
        <is>
          <t>VINDELN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42409-2024</t>
        </is>
      </c>
      <c r="B360" s="1" t="n">
        <v>45565.36329861111</v>
      </c>
      <c r="C360" s="1" t="n">
        <v>45939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41454-2023</t>
        </is>
      </c>
      <c r="B361" s="1" t="n">
        <v>45175</v>
      </c>
      <c r="C361" s="1" t="n">
        <v>45939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Naturvårdsverket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36910-2023</t>
        </is>
      </c>
      <c r="B362" s="1" t="n">
        <v>45154</v>
      </c>
      <c r="C362" s="1" t="n">
        <v>45939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37255-2023</t>
        </is>
      </c>
      <c r="B363" s="1" t="n">
        <v>45155</v>
      </c>
      <c r="C363" s="1" t="n">
        <v>45939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21835-2023</t>
        </is>
      </c>
      <c r="B364" s="1" t="n">
        <v>45068.3797337963</v>
      </c>
      <c r="C364" s="1" t="n">
        <v>45939</v>
      </c>
      <c r="D364" t="inlineStr">
        <is>
          <t>VÄSTERBOTTENS LÄN</t>
        </is>
      </c>
      <c r="E364" t="inlineStr">
        <is>
          <t>VINDELN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38165-2024</t>
        </is>
      </c>
      <c r="B365" s="1" t="n">
        <v>45545</v>
      </c>
      <c r="C365" s="1" t="n">
        <v>45939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24317-2024</t>
        </is>
      </c>
      <c r="B366" s="1" t="n">
        <v>45457</v>
      </c>
      <c r="C366" s="1" t="n">
        <v>45939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36334-2023</t>
        </is>
      </c>
      <c r="B367" s="1" t="n">
        <v>45152.44956018519</v>
      </c>
      <c r="C367" s="1" t="n">
        <v>45939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55096-2022</t>
        </is>
      </c>
      <c r="B368" s="1" t="n">
        <v>44882</v>
      </c>
      <c r="C368" s="1" t="n">
        <v>45939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64205-2023</t>
        </is>
      </c>
      <c r="B369" s="1" t="n">
        <v>45279</v>
      </c>
      <c r="C369" s="1" t="n">
        <v>45939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4222-2025</t>
        </is>
      </c>
      <c r="B370" s="1" t="n">
        <v>45685</v>
      </c>
      <c r="C370" s="1" t="n">
        <v>45939</v>
      </c>
      <c r="D370" t="inlineStr">
        <is>
          <t>VÄSTERBOTTENS LÄN</t>
        </is>
      </c>
      <c r="E370" t="inlineStr">
        <is>
          <t>VINDELN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46606-2025</t>
        </is>
      </c>
      <c r="B371" s="1" t="n">
        <v>45926.4140162037</v>
      </c>
      <c r="C371" s="1" t="n">
        <v>45939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60597-2024</t>
        </is>
      </c>
      <c r="B372" s="1" t="n">
        <v>45644.36103009259</v>
      </c>
      <c r="C372" s="1" t="n">
        <v>45939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32222-2024</t>
        </is>
      </c>
      <c r="B373" s="1" t="n">
        <v>45511.92803240741</v>
      </c>
      <c r="C373" s="1" t="n">
        <v>45939</v>
      </c>
      <c r="D373" t="inlineStr">
        <is>
          <t>VÄSTERBOTTENS LÄN</t>
        </is>
      </c>
      <c r="E373" t="inlineStr">
        <is>
          <t>VINDELN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32232-2024</t>
        </is>
      </c>
      <c r="B374" s="1" t="n">
        <v>45511</v>
      </c>
      <c r="C374" s="1" t="n">
        <v>45939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54691-2022</t>
        </is>
      </c>
      <c r="B375" s="1" t="n">
        <v>44881</v>
      </c>
      <c r="C375" s="1" t="n">
        <v>45939</v>
      </c>
      <c r="D375" t="inlineStr">
        <is>
          <t>VÄSTERBOTTENS LÄN</t>
        </is>
      </c>
      <c r="E375" t="inlineStr">
        <is>
          <t>VINDELN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54725-2022</t>
        </is>
      </c>
      <c r="B376" s="1" t="n">
        <v>44883.55074074074</v>
      </c>
      <c r="C376" s="1" t="n">
        <v>45939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32647-2024</t>
        </is>
      </c>
      <c r="B377" s="1" t="n">
        <v>45513.9633912037</v>
      </c>
      <c r="C377" s="1" t="n">
        <v>45939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40443-2024</t>
        </is>
      </c>
      <c r="B378" s="1" t="n">
        <v>45555.48571759259</v>
      </c>
      <c r="C378" s="1" t="n">
        <v>45939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13313-2023</t>
        </is>
      </c>
      <c r="B379" s="1" t="n">
        <v>45005</v>
      </c>
      <c r="C379" s="1" t="n">
        <v>45939</v>
      </c>
      <c r="D379" t="inlineStr">
        <is>
          <t>VÄSTERBOTTENS LÄN</t>
        </is>
      </c>
      <c r="E379" t="inlineStr">
        <is>
          <t>VINDELN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35124-2024</t>
        </is>
      </c>
      <c r="B380" s="1" t="n">
        <v>45530</v>
      </c>
      <c r="C380" s="1" t="n">
        <v>45939</v>
      </c>
      <c r="D380" t="inlineStr">
        <is>
          <t>VÄSTERBOTTENS LÄN</t>
        </is>
      </c>
      <c r="E380" t="inlineStr">
        <is>
          <t>VINDELN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31625-2024</t>
        </is>
      </c>
      <c r="B381" s="1" t="n">
        <v>45506.50579861111</v>
      </c>
      <c r="C381" s="1" t="n">
        <v>45939</v>
      </c>
      <c r="D381" t="inlineStr">
        <is>
          <t>VÄSTERBOTTENS LÄN</t>
        </is>
      </c>
      <c r="E381" t="inlineStr">
        <is>
          <t>VINDELN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36665-2024</t>
        </is>
      </c>
      <c r="B382" s="1" t="n">
        <v>45537</v>
      </c>
      <c r="C382" s="1" t="n">
        <v>45939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33724-2024</t>
        </is>
      </c>
      <c r="B383" s="1" t="n">
        <v>45520.54362268518</v>
      </c>
      <c r="C383" s="1" t="n">
        <v>45939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31402-2023</t>
        </is>
      </c>
      <c r="B384" s="1" t="n">
        <v>45114</v>
      </c>
      <c r="C384" s="1" t="n">
        <v>45939</v>
      </c>
      <c r="D384" t="inlineStr">
        <is>
          <t>VÄSTERBOTTENS LÄN</t>
        </is>
      </c>
      <c r="E384" t="inlineStr">
        <is>
          <t>VINDELN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58700-2022</t>
        </is>
      </c>
      <c r="B385" s="1" t="n">
        <v>44902.74778935185</v>
      </c>
      <c r="C385" s="1" t="n">
        <v>45939</v>
      </c>
      <c r="D385" t="inlineStr">
        <is>
          <t>VÄSTERBOTTENS LÄN</t>
        </is>
      </c>
      <c r="E385" t="inlineStr">
        <is>
          <t>VINDELN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45939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17059-2025</t>
        </is>
      </c>
      <c r="B387" s="1" t="n">
        <v>45755.60673611111</v>
      </c>
      <c r="C387" s="1" t="n">
        <v>45939</v>
      </c>
      <c r="D387" t="inlineStr">
        <is>
          <t>VÄSTERBOTTENS LÄN</t>
        </is>
      </c>
      <c r="E387" t="inlineStr">
        <is>
          <t>VINDELN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20574-2023</t>
        </is>
      </c>
      <c r="B388" s="1" t="n">
        <v>45057</v>
      </c>
      <c r="C388" s="1" t="n">
        <v>45939</v>
      </c>
      <c r="D388" t="inlineStr">
        <is>
          <t>VÄSTERBOTTENS LÄN</t>
        </is>
      </c>
      <c r="E388" t="inlineStr">
        <is>
          <t>VINDELN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50278-2024</t>
        </is>
      </c>
      <c r="B389" s="1" t="n">
        <v>45600.60490740741</v>
      </c>
      <c r="C389" s="1" t="n">
        <v>45939</v>
      </c>
      <c r="D389" t="inlineStr">
        <is>
          <t>VÄSTERBOTTENS LÄN</t>
        </is>
      </c>
      <c r="E389" t="inlineStr">
        <is>
          <t>VINDELN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50615-2024</t>
        </is>
      </c>
      <c r="B390" s="1" t="n">
        <v>45601</v>
      </c>
      <c r="C390" s="1" t="n">
        <v>45939</v>
      </c>
      <c r="D390" t="inlineStr">
        <is>
          <t>VÄSTERBOTTENS LÄN</t>
        </is>
      </c>
      <c r="E390" t="inlineStr">
        <is>
          <t>VINDELN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28975-2024</t>
        </is>
      </c>
      <c r="B391" s="1" t="n">
        <v>45481.45671296296</v>
      </c>
      <c r="C391" s="1" t="n">
        <v>45939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33132-2023</t>
        </is>
      </c>
      <c r="B392" s="1" t="n">
        <v>45114</v>
      </c>
      <c r="C392" s="1" t="n">
        <v>45939</v>
      </c>
      <c r="D392" t="inlineStr">
        <is>
          <t>VÄSTERBOTTENS LÄN</t>
        </is>
      </c>
      <c r="E392" t="inlineStr">
        <is>
          <t>VINDELN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32479-2024</t>
        </is>
      </c>
      <c r="B393" s="1" t="n">
        <v>45513</v>
      </c>
      <c r="C393" s="1" t="n">
        <v>45939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32969-2021</t>
        </is>
      </c>
      <c r="B394" s="1" t="n">
        <v>44376</v>
      </c>
      <c r="C394" s="1" t="n">
        <v>45939</v>
      </c>
      <c r="D394" t="inlineStr">
        <is>
          <t>VÄSTERBOTTENS LÄN</t>
        </is>
      </c>
      <c r="E394" t="inlineStr">
        <is>
          <t>VINDELN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23448-2024</t>
        </is>
      </c>
      <c r="B395" s="1" t="n">
        <v>45453</v>
      </c>
      <c r="C395" s="1" t="n">
        <v>45939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23216-2024</t>
        </is>
      </c>
      <c r="B396" s="1" t="n">
        <v>45452</v>
      </c>
      <c r="C396" s="1" t="n">
        <v>45939</v>
      </c>
      <c r="D396" t="inlineStr">
        <is>
          <t>VÄSTERBOTTENS LÄN</t>
        </is>
      </c>
      <c r="E396" t="inlineStr">
        <is>
          <t>VINDELN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3885-2025</t>
        </is>
      </c>
      <c r="B397" s="1" t="n">
        <v>45684.36349537037</v>
      </c>
      <c r="C397" s="1" t="n">
        <v>45939</v>
      </c>
      <c r="D397" t="inlineStr">
        <is>
          <t>VÄSTERBOTTENS LÄN</t>
        </is>
      </c>
      <c r="E397" t="inlineStr">
        <is>
          <t>VINDELN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28739-2023</t>
        </is>
      </c>
      <c r="B398" s="1" t="n">
        <v>45103</v>
      </c>
      <c r="C398" s="1" t="n">
        <v>45939</v>
      </c>
      <c r="D398" t="inlineStr">
        <is>
          <t>VÄSTERBOTTENS LÄN</t>
        </is>
      </c>
      <c r="E398" t="inlineStr">
        <is>
          <t>VINDELN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28781-2023</t>
        </is>
      </c>
      <c r="B399" s="1" t="n">
        <v>45104</v>
      </c>
      <c r="C399" s="1" t="n">
        <v>45939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35921-2023</t>
        </is>
      </c>
      <c r="B400" s="1" t="n">
        <v>45148</v>
      </c>
      <c r="C400" s="1" t="n">
        <v>45939</v>
      </c>
      <c r="D400" t="inlineStr">
        <is>
          <t>VÄSTERBOTTENS LÄN</t>
        </is>
      </c>
      <c r="E400" t="inlineStr">
        <is>
          <t>VINDELN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26540-2024</t>
        </is>
      </c>
      <c r="B401" s="1" t="n">
        <v>45469.61787037037</v>
      </c>
      <c r="C401" s="1" t="n">
        <v>45939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33698-2023</t>
        </is>
      </c>
      <c r="B402" s="1" t="n">
        <v>45132.71641203704</v>
      </c>
      <c r="C402" s="1" t="n">
        <v>45939</v>
      </c>
      <c r="D402" t="inlineStr">
        <is>
          <t>VÄSTERBOTTENS LÄN</t>
        </is>
      </c>
      <c r="E402" t="inlineStr">
        <is>
          <t>VINDELN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33702-2023</t>
        </is>
      </c>
      <c r="B403" s="1" t="n">
        <v>45132</v>
      </c>
      <c r="C403" s="1" t="n">
        <v>45939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37210-2024</t>
        </is>
      </c>
      <c r="B404" s="1" t="n">
        <v>45539</v>
      </c>
      <c r="C404" s="1" t="n">
        <v>45939</v>
      </c>
      <c r="D404" t="inlineStr">
        <is>
          <t>VÄSTERBOTTENS LÄN</t>
        </is>
      </c>
      <c r="E404" t="inlineStr">
        <is>
          <t>VINDELN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4004-2025</t>
        </is>
      </c>
      <c r="B405" s="1" t="n">
        <v>45684</v>
      </c>
      <c r="C405" s="1" t="n">
        <v>45939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18549-2023</t>
        </is>
      </c>
      <c r="B406" s="1" t="n">
        <v>45042.92578703703</v>
      </c>
      <c r="C406" s="1" t="n">
        <v>45939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21669-2024</t>
        </is>
      </c>
      <c r="B407" s="1" t="n">
        <v>45442</v>
      </c>
      <c r="C407" s="1" t="n">
        <v>45939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44734-2022</t>
        </is>
      </c>
      <c r="B408" s="1" t="n">
        <v>44840</v>
      </c>
      <c r="C408" s="1" t="n">
        <v>45939</v>
      </c>
      <c r="D408" t="inlineStr">
        <is>
          <t>VÄSTERBOTTENS LÄN</t>
        </is>
      </c>
      <c r="E408" t="inlineStr">
        <is>
          <t>VINDELN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28732-2024</t>
        </is>
      </c>
      <c r="B409" s="1" t="n">
        <v>45478.56394675926</v>
      </c>
      <c r="C409" s="1" t="n">
        <v>45939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HYPERLINK("https://klasma.github.io/Logging_2404/knärot/A 28732-2024 karta knärot.png", "A 28732-2024")</f>
        <v/>
      </c>
      <c r="V409">
        <f>HYPERLINK("https://klasma.github.io/Logging_2404/klagomål/A 28732-2024 FSC-klagomål.docx", "A 28732-2024")</f>
        <v/>
      </c>
      <c r="W409">
        <f>HYPERLINK("https://klasma.github.io/Logging_2404/klagomålsmail/A 28732-2024 FSC-klagomål mail.docx", "A 28732-2024")</f>
        <v/>
      </c>
      <c r="X409">
        <f>HYPERLINK("https://klasma.github.io/Logging_2404/tillsyn/A 28732-2024 tillsynsbegäran.docx", "A 28732-2024")</f>
        <v/>
      </c>
      <c r="Y409">
        <f>HYPERLINK("https://klasma.github.io/Logging_2404/tillsynsmail/A 28732-2024 tillsynsbegäran mail.docx", "A 28732-2024")</f>
        <v/>
      </c>
    </row>
    <row r="410" ht="15" customHeight="1">
      <c r="A410" t="inlineStr">
        <is>
          <t>A 23427-2024</t>
        </is>
      </c>
      <c r="B410" s="1" t="n">
        <v>45453</v>
      </c>
      <c r="C410" s="1" t="n">
        <v>45939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23523-2024</t>
        </is>
      </c>
      <c r="B411" s="1" t="n">
        <v>45453.92482638889</v>
      </c>
      <c r="C411" s="1" t="n">
        <v>45939</v>
      </c>
      <c r="D411" t="inlineStr">
        <is>
          <t>VÄSTERBOTTENS LÄN</t>
        </is>
      </c>
      <c r="E411" t="inlineStr">
        <is>
          <t>VINDELN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425-2022</t>
        </is>
      </c>
      <c r="B412" s="1" t="n">
        <v>44565.92798611111</v>
      </c>
      <c r="C412" s="1" t="n">
        <v>45939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8510-2025</t>
        </is>
      </c>
      <c r="B413" s="1" t="n">
        <v>45709.53822916667</v>
      </c>
      <c r="C413" s="1" t="n">
        <v>45939</v>
      </c>
      <c r="D413" t="inlineStr">
        <is>
          <t>VÄSTERBOTTENS LÄN</t>
        </is>
      </c>
      <c r="E413" t="inlineStr">
        <is>
          <t>VINDELN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61586-2024</t>
        </is>
      </c>
      <c r="B414" s="1" t="n">
        <v>45646.62806712963</v>
      </c>
      <c r="C414" s="1" t="n">
        <v>45939</v>
      </c>
      <c r="D414" t="inlineStr">
        <is>
          <t>VÄSTERBOTTENS LÄN</t>
        </is>
      </c>
      <c r="E414" t="inlineStr">
        <is>
          <t>VINDELN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20390-2025</t>
        </is>
      </c>
      <c r="B415" s="1" t="n">
        <v>45775.44846064815</v>
      </c>
      <c r="C415" s="1" t="n">
        <v>45939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9249-2025</t>
        </is>
      </c>
      <c r="B416" s="1" t="n">
        <v>45714.58974537037</v>
      </c>
      <c r="C416" s="1" t="n">
        <v>45939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61591-2024</t>
        </is>
      </c>
      <c r="B417" s="1" t="n">
        <v>45646.63126157408</v>
      </c>
      <c r="C417" s="1" t="n">
        <v>45939</v>
      </c>
      <c r="D417" t="inlineStr">
        <is>
          <t>VÄSTERBOTTENS LÄN</t>
        </is>
      </c>
      <c r="E417" t="inlineStr">
        <is>
          <t>VINDELN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35591-2024</t>
        </is>
      </c>
      <c r="B418" s="1" t="n">
        <v>45531.6533912037</v>
      </c>
      <c r="C418" s="1" t="n">
        <v>45939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4162-2025</t>
        </is>
      </c>
      <c r="B419" s="1" t="n">
        <v>45685.40097222223</v>
      </c>
      <c r="C419" s="1" t="n">
        <v>45939</v>
      </c>
      <c r="D419" t="inlineStr">
        <is>
          <t>VÄSTERBOTTENS LÄN</t>
        </is>
      </c>
      <c r="E419" t="inlineStr">
        <is>
          <t>VINDELN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4163-2025</t>
        </is>
      </c>
      <c r="B420" s="1" t="n">
        <v>45685.40736111111</v>
      </c>
      <c r="C420" s="1" t="n">
        <v>45939</v>
      </c>
      <c r="D420" t="inlineStr">
        <is>
          <t>VÄSTERBOTTENS LÄN</t>
        </is>
      </c>
      <c r="E420" t="inlineStr">
        <is>
          <t>VINDELN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60849-2024</t>
        </is>
      </c>
      <c r="B421" s="1" t="n">
        <v>45644.65862268519</v>
      </c>
      <c r="C421" s="1" t="n">
        <v>45939</v>
      </c>
      <c r="D421" t="inlineStr">
        <is>
          <t>VÄSTERBOTTENS LÄN</t>
        </is>
      </c>
      <c r="E421" t="inlineStr">
        <is>
          <t>VINDELN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4879-2024</t>
        </is>
      </c>
      <c r="B422" s="1" t="n">
        <v>45329</v>
      </c>
      <c r="C422" s="1" t="n">
        <v>45939</v>
      </c>
      <c r="D422" t="inlineStr">
        <is>
          <t>VÄSTERBOTTENS LÄN</t>
        </is>
      </c>
      <c r="E422" t="inlineStr">
        <is>
          <t>VINDELN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579-2023</t>
        </is>
      </c>
      <c r="B423" s="1" t="n">
        <v>44925</v>
      </c>
      <c r="C423" s="1" t="n">
        <v>45939</v>
      </c>
      <c r="D423" t="inlineStr">
        <is>
          <t>VÄSTERBOTTENS LÄN</t>
        </is>
      </c>
      <c r="E423" t="inlineStr">
        <is>
          <t>VINDELN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58579-2022</t>
        </is>
      </c>
      <c r="B424" s="1" t="n">
        <v>44902</v>
      </c>
      <c r="C424" s="1" t="n">
        <v>45939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41109-2024</t>
        </is>
      </c>
      <c r="B425" s="1" t="n">
        <v>45559.4494675926</v>
      </c>
      <c r="C425" s="1" t="n">
        <v>45939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33753-2024</t>
        </is>
      </c>
      <c r="B426" s="1" t="n">
        <v>45520</v>
      </c>
      <c r="C426" s="1" t="n">
        <v>45939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35301-2024</t>
        </is>
      </c>
      <c r="B427" s="1" t="n">
        <v>45530</v>
      </c>
      <c r="C427" s="1" t="n">
        <v>45939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46574-2025</t>
        </is>
      </c>
      <c r="B428" s="1" t="n">
        <v>45926.37028935185</v>
      </c>
      <c r="C428" s="1" t="n">
        <v>45939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36589-2024</t>
        </is>
      </c>
      <c r="B429" s="1" t="n">
        <v>45537.54291666667</v>
      </c>
      <c r="C429" s="1" t="n">
        <v>45939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50081-2022</t>
        </is>
      </c>
      <c r="B430" s="1" t="n">
        <v>44860</v>
      </c>
      <c r="C430" s="1" t="n">
        <v>45939</v>
      </c>
      <c r="D430" t="inlineStr">
        <is>
          <t>VÄSTERBOTTENS LÄN</t>
        </is>
      </c>
      <c r="E430" t="inlineStr">
        <is>
          <t>VINDELN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8536-2025</t>
        </is>
      </c>
      <c r="B431" s="1" t="n">
        <v>45709</v>
      </c>
      <c r="C431" s="1" t="n">
        <v>45939</v>
      </c>
      <c r="D431" t="inlineStr">
        <is>
          <t>VÄSTERBOTTENS LÄN</t>
        </is>
      </c>
      <c r="E431" t="inlineStr">
        <is>
          <t>VINDELN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36839-2024</t>
        </is>
      </c>
      <c r="B432" s="1" t="n">
        <v>45538.53047453704</v>
      </c>
      <c r="C432" s="1" t="n">
        <v>45939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67032-2020</t>
        </is>
      </c>
      <c r="B433" s="1" t="n">
        <v>44180</v>
      </c>
      <c r="C433" s="1" t="n">
        <v>45939</v>
      </c>
      <c r="D433" t="inlineStr">
        <is>
          <t>VÄSTERBOTTENS LÄN</t>
        </is>
      </c>
      <c r="E433" t="inlineStr">
        <is>
          <t>VINDELN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37948-2023</t>
        </is>
      </c>
      <c r="B434" s="1" t="n">
        <v>45159</v>
      </c>
      <c r="C434" s="1" t="n">
        <v>45939</v>
      </c>
      <c r="D434" t="inlineStr">
        <is>
          <t>VÄSTERBOTTENS LÄN</t>
        </is>
      </c>
      <c r="E434" t="inlineStr">
        <is>
          <t>VINDELN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HYPERLINK("https://klasma.github.io/Logging_2404/knärot/A 37948-2023 karta knärot.png", "A 37948-2023")</f>
        <v/>
      </c>
      <c r="V434">
        <f>HYPERLINK("https://klasma.github.io/Logging_2404/klagomål/A 37948-2023 FSC-klagomål.docx", "A 37948-2023")</f>
        <v/>
      </c>
      <c r="W434">
        <f>HYPERLINK("https://klasma.github.io/Logging_2404/klagomålsmail/A 37948-2023 FSC-klagomål mail.docx", "A 37948-2023")</f>
        <v/>
      </c>
      <c r="X434">
        <f>HYPERLINK("https://klasma.github.io/Logging_2404/tillsyn/A 37948-2023 tillsynsbegäran.docx", "A 37948-2023")</f>
        <v/>
      </c>
      <c r="Y434">
        <f>HYPERLINK("https://klasma.github.io/Logging_2404/tillsynsmail/A 37948-2023 tillsynsbegäran mail.docx", "A 37948-2023")</f>
        <v/>
      </c>
    </row>
    <row r="435" ht="15" customHeight="1">
      <c r="A435" t="inlineStr">
        <is>
          <t>A 24817-2024</t>
        </is>
      </c>
      <c r="B435" s="1" t="n">
        <v>45460</v>
      </c>
      <c r="C435" s="1" t="n">
        <v>45939</v>
      </c>
      <c r="D435" t="inlineStr">
        <is>
          <t>VÄSTERBOTTENS LÄN</t>
        </is>
      </c>
      <c r="E435" t="inlineStr">
        <is>
          <t>VINDELN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38696-2023</t>
        </is>
      </c>
      <c r="B436" s="1" t="n">
        <v>45162.94581018519</v>
      </c>
      <c r="C436" s="1" t="n">
        <v>45939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74397-2021</t>
        </is>
      </c>
      <c r="B437" s="1" t="n">
        <v>44559</v>
      </c>
      <c r="C437" s="1" t="n">
        <v>45939</v>
      </c>
      <c r="D437" t="inlineStr">
        <is>
          <t>VÄSTERBOTTENS LÄN</t>
        </is>
      </c>
      <c r="E437" t="inlineStr">
        <is>
          <t>VINDELN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748-2025</t>
        </is>
      </c>
      <c r="B438" s="1" t="n">
        <v>45665.43998842593</v>
      </c>
      <c r="C438" s="1" t="n">
        <v>45939</v>
      </c>
      <c r="D438" t="inlineStr">
        <is>
          <t>VÄSTERBOTTENS LÄN</t>
        </is>
      </c>
      <c r="E438" t="inlineStr">
        <is>
          <t>VINDELN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62126-2024</t>
        </is>
      </c>
      <c r="B439" s="1" t="n">
        <v>45646</v>
      </c>
      <c r="C439" s="1" t="n">
        <v>45939</v>
      </c>
      <c r="D439" t="inlineStr">
        <is>
          <t>VÄSTERBOTTENS LÄN</t>
        </is>
      </c>
      <c r="E439" t="inlineStr">
        <is>
          <t>VINDELN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2704-2025</t>
        </is>
      </c>
      <c r="B440" s="1" t="n">
        <v>45677</v>
      </c>
      <c r="C440" s="1" t="n">
        <v>45939</v>
      </c>
      <c r="D440" t="inlineStr">
        <is>
          <t>VÄSTERBOTTENS LÄN</t>
        </is>
      </c>
      <c r="E440" t="inlineStr">
        <is>
          <t>VINDELN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29347-2023</t>
        </is>
      </c>
      <c r="B441" s="1" t="n">
        <v>45105.94494212963</v>
      </c>
      <c r="C441" s="1" t="n">
        <v>45939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37188-2024</t>
        </is>
      </c>
      <c r="B442" s="1" t="n">
        <v>45539</v>
      </c>
      <c r="C442" s="1" t="n">
        <v>45939</v>
      </c>
      <c r="D442" t="inlineStr">
        <is>
          <t>VÄSTERBOTTENS LÄN</t>
        </is>
      </c>
      <c r="E442" t="inlineStr">
        <is>
          <t>VINDELN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18664-2024</t>
        </is>
      </c>
      <c r="B443" s="1" t="n">
        <v>45425</v>
      </c>
      <c r="C443" s="1" t="n">
        <v>45939</v>
      </c>
      <c r="D443" t="inlineStr">
        <is>
          <t>VÄSTERBOTTENS LÄN</t>
        </is>
      </c>
      <c r="E443" t="inlineStr">
        <is>
          <t>VINDELN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33696-2024</t>
        </is>
      </c>
      <c r="B444" s="1" t="n">
        <v>45520.51991898148</v>
      </c>
      <c r="C444" s="1" t="n">
        <v>45939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22896-2024</t>
        </is>
      </c>
      <c r="B445" s="1" t="n">
        <v>45448</v>
      </c>
      <c r="C445" s="1" t="n">
        <v>45939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56562-2024</t>
        </is>
      </c>
      <c r="B446" s="1" t="n">
        <v>45625.58225694444</v>
      </c>
      <c r="C446" s="1" t="n">
        <v>45939</v>
      </c>
      <c r="D446" t="inlineStr">
        <is>
          <t>VÄSTERBOTTENS LÄN</t>
        </is>
      </c>
      <c r="E446" t="inlineStr">
        <is>
          <t>VINDELN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56789-2024</t>
        </is>
      </c>
      <c r="B447" s="1" t="n">
        <v>45628</v>
      </c>
      <c r="C447" s="1" t="n">
        <v>45939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54022-2024</t>
        </is>
      </c>
      <c r="B448" s="1" t="n">
        <v>45616.38693287037</v>
      </c>
      <c r="C448" s="1" t="n">
        <v>45939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60572-2024</t>
        </is>
      </c>
      <c r="B449" s="1" t="n">
        <v>45644.32913194445</v>
      </c>
      <c r="C449" s="1" t="n">
        <v>45939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35293-2023</t>
        </is>
      </c>
      <c r="B450" s="1" t="n">
        <v>45145</v>
      </c>
      <c r="C450" s="1" t="n">
        <v>45939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17845-2025</t>
        </is>
      </c>
      <c r="B451" s="1" t="n">
        <v>45758.59927083334</v>
      </c>
      <c r="C451" s="1" t="n">
        <v>45939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32645-2024</t>
        </is>
      </c>
      <c r="B452" s="1" t="n">
        <v>45513.96297453704</v>
      </c>
      <c r="C452" s="1" t="n">
        <v>45939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62726-2022</t>
        </is>
      </c>
      <c r="B453" s="1" t="n">
        <v>44925</v>
      </c>
      <c r="C453" s="1" t="n">
        <v>45939</v>
      </c>
      <c r="D453" t="inlineStr">
        <is>
          <t>VÄSTERBOTTENS LÄN</t>
        </is>
      </c>
      <c r="E453" t="inlineStr">
        <is>
          <t>VINDELN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62727-2022</t>
        </is>
      </c>
      <c r="B454" s="1" t="n">
        <v>44925</v>
      </c>
      <c r="C454" s="1" t="n">
        <v>45939</v>
      </c>
      <c r="D454" t="inlineStr">
        <is>
          <t>VÄSTERBOTTENS LÄN</t>
        </is>
      </c>
      <c r="E454" t="inlineStr">
        <is>
          <t>VINDELN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7112-2023</t>
        </is>
      </c>
      <c r="B455" s="1" t="n">
        <v>44965</v>
      </c>
      <c r="C455" s="1" t="n">
        <v>45939</v>
      </c>
      <c r="D455" t="inlineStr">
        <is>
          <t>VÄSTERBOTTENS LÄN</t>
        </is>
      </c>
      <c r="E455" t="inlineStr">
        <is>
          <t>VINDELN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62753-2022</t>
        </is>
      </c>
      <c r="B456" s="1" t="n">
        <v>44925</v>
      </c>
      <c r="C456" s="1" t="n">
        <v>45939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56447-2021</t>
        </is>
      </c>
      <c r="B457" s="1" t="n">
        <v>44479</v>
      </c>
      <c r="C457" s="1" t="n">
        <v>45939</v>
      </c>
      <c r="D457" t="inlineStr">
        <is>
          <t>VÄSTERBOTTENS LÄN</t>
        </is>
      </c>
      <c r="E457" t="inlineStr">
        <is>
          <t>VINDELN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23532-2023</t>
        </is>
      </c>
      <c r="B458" s="1" t="n">
        <v>45076.94684027778</v>
      </c>
      <c r="C458" s="1" t="n">
        <v>45939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13836-2025</t>
        </is>
      </c>
      <c r="B459" s="1" t="n">
        <v>45737.55303240741</v>
      </c>
      <c r="C459" s="1" t="n">
        <v>45939</v>
      </c>
      <c r="D459" t="inlineStr">
        <is>
          <t>VÄSTERBOTTENS LÄN</t>
        </is>
      </c>
      <c r="E459" t="inlineStr">
        <is>
          <t>VINDELN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46629-2025</t>
        </is>
      </c>
      <c r="B460" s="1" t="n">
        <v>45926.45268518518</v>
      </c>
      <c r="C460" s="1" t="n">
        <v>45939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37994-2024</t>
        </is>
      </c>
      <c r="B461" s="1" t="n">
        <v>45544</v>
      </c>
      <c r="C461" s="1" t="n">
        <v>45939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7700-2025</t>
        </is>
      </c>
      <c r="B462" s="1" t="n">
        <v>45706</v>
      </c>
      <c r="C462" s="1" t="n">
        <v>45939</v>
      </c>
      <c r="D462" t="inlineStr">
        <is>
          <t>VÄSTERBOTTENS LÄN</t>
        </is>
      </c>
      <c r="E462" t="inlineStr">
        <is>
          <t>VINDELN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32489-2024</t>
        </is>
      </c>
      <c r="B463" s="1" t="n">
        <v>45513.38631944444</v>
      </c>
      <c r="C463" s="1" t="n">
        <v>45939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58700-2020</t>
        </is>
      </c>
      <c r="B464" s="1" t="n">
        <v>44146</v>
      </c>
      <c r="C464" s="1" t="n">
        <v>45939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13756-2025</t>
        </is>
      </c>
      <c r="B465" s="1" t="n">
        <v>45737.41623842593</v>
      </c>
      <c r="C465" s="1" t="n">
        <v>45939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13999-2025</t>
        </is>
      </c>
      <c r="B466" s="1" t="n">
        <v>45739</v>
      </c>
      <c r="C466" s="1" t="n">
        <v>45939</v>
      </c>
      <c r="D466" t="inlineStr">
        <is>
          <t>VÄSTERBOTTENS LÄN</t>
        </is>
      </c>
      <c r="E466" t="inlineStr">
        <is>
          <t>VINDELN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60754-2020</t>
        </is>
      </c>
      <c r="B467" s="1" t="n">
        <v>44153.93832175926</v>
      </c>
      <c r="C467" s="1" t="n">
        <v>45939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40130-2024</t>
        </is>
      </c>
      <c r="B468" s="1" t="n">
        <v>45554.47037037037</v>
      </c>
      <c r="C468" s="1" t="n">
        <v>45939</v>
      </c>
      <c r="D468" t="inlineStr">
        <is>
          <t>VÄSTERBOTTENS LÄN</t>
        </is>
      </c>
      <c r="E468" t="inlineStr">
        <is>
          <t>VINDELN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32492-2024</t>
        </is>
      </c>
      <c r="B469" s="1" t="n">
        <v>45513.40537037037</v>
      </c>
      <c r="C469" s="1" t="n">
        <v>45939</v>
      </c>
      <c r="D469" t="inlineStr">
        <is>
          <t>VÄSTERBOTTENS LÄN</t>
        </is>
      </c>
      <c r="E469" t="inlineStr">
        <is>
          <t>VINDELN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28998-2022</t>
        </is>
      </c>
      <c r="B470" s="1" t="n">
        <v>44749</v>
      </c>
      <c r="C470" s="1" t="n">
        <v>45939</v>
      </c>
      <c r="D470" t="inlineStr">
        <is>
          <t>VÄSTERBOTTENS LÄN</t>
        </is>
      </c>
      <c r="E470" t="inlineStr">
        <is>
          <t>VINDELN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62585-2022</t>
        </is>
      </c>
      <c r="B471" s="1" t="n">
        <v>44924.94068287037</v>
      </c>
      <c r="C471" s="1" t="n">
        <v>45939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33038-2024</t>
        </is>
      </c>
      <c r="B472" s="1" t="n">
        <v>45517.60179398148</v>
      </c>
      <c r="C472" s="1" t="n">
        <v>45939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55134-2022</t>
        </is>
      </c>
      <c r="B473" s="1" t="n">
        <v>44886</v>
      </c>
      <c r="C473" s="1" t="n">
        <v>45939</v>
      </c>
      <c r="D473" t="inlineStr">
        <is>
          <t>VÄSTERBOTTENS LÄN</t>
        </is>
      </c>
      <c r="E473" t="inlineStr">
        <is>
          <t>VINDELN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34733-2024</t>
        </is>
      </c>
      <c r="B474" s="1" t="n">
        <v>45526</v>
      </c>
      <c r="C474" s="1" t="n">
        <v>45939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54019-2024</t>
        </is>
      </c>
      <c r="B475" s="1" t="n">
        <v>45616.38535879629</v>
      </c>
      <c r="C475" s="1" t="n">
        <v>45939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54024-2024</t>
        </is>
      </c>
      <c r="B476" s="1" t="n">
        <v>45616.38949074074</v>
      </c>
      <c r="C476" s="1" t="n">
        <v>45939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54030-2024</t>
        </is>
      </c>
      <c r="B477" s="1" t="n">
        <v>45616.4003125</v>
      </c>
      <c r="C477" s="1" t="n">
        <v>45939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54033-2024</t>
        </is>
      </c>
      <c r="B478" s="1" t="n">
        <v>45616.41386574074</v>
      </c>
      <c r="C478" s="1" t="n">
        <v>45939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2410-2023</t>
        </is>
      </c>
      <c r="B479" s="1" t="n">
        <v>44942</v>
      </c>
      <c r="C479" s="1" t="n">
        <v>45939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34402-2024</t>
        </is>
      </c>
      <c r="B480" s="1" t="n">
        <v>45525.45399305555</v>
      </c>
      <c r="C480" s="1" t="n">
        <v>45939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73893-2021</t>
        </is>
      </c>
      <c r="B481" s="1" t="n">
        <v>44552</v>
      </c>
      <c r="C481" s="1" t="n">
        <v>45939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13887-2023</t>
        </is>
      </c>
      <c r="B482" s="1" t="n">
        <v>45007.95096064815</v>
      </c>
      <c r="C482" s="1" t="n">
        <v>45939</v>
      </c>
      <c r="D482" t="inlineStr">
        <is>
          <t>VÄSTERBOTTENS LÄN</t>
        </is>
      </c>
      <c r="E482" t="inlineStr">
        <is>
          <t>VINDELN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56182-2023</t>
        </is>
      </c>
      <c r="B483" s="1" t="n">
        <v>45240.63961805555</v>
      </c>
      <c r="C483" s="1" t="n">
        <v>45939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61151-2023</t>
        </is>
      </c>
      <c r="B484" s="1" t="n">
        <v>45261.96797453704</v>
      </c>
      <c r="C484" s="1" t="n">
        <v>45939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61152-2023</t>
        </is>
      </c>
      <c r="B485" s="1" t="n">
        <v>45261</v>
      </c>
      <c r="C485" s="1" t="n">
        <v>45939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13873-2025</t>
        </is>
      </c>
      <c r="B486" s="1" t="n">
        <v>45737.58700231482</v>
      </c>
      <c r="C486" s="1" t="n">
        <v>45939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32570-2024</t>
        </is>
      </c>
      <c r="B487" s="1" t="n">
        <v>45513.56297453704</v>
      </c>
      <c r="C487" s="1" t="n">
        <v>45939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43945-2023</t>
        </is>
      </c>
      <c r="B488" s="1" t="n">
        <v>45187</v>
      </c>
      <c r="C488" s="1" t="n">
        <v>45939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58187-2023</t>
        </is>
      </c>
      <c r="B489" s="1" t="n">
        <v>45250.42211805555</v>
      </c>
      <c r="C489" s="1" t="n">
        <v>45939</v>
      </c>
      <c r="D489" t="inlineStr">
        <is>
          <t>VÄSTERBOTTENS LÄN</t>
        </is>
      </c>
      <c r="E489" t="inlineStr">
        <is>
          <t>VINDELN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18862-2023</t>
        </is>
      </c>
      <c r="B490" s="1" t="n">
        <v>45043</v>
      </c>
      <c r="C490" s="1" t="n">
        <v>45939</v>
      </c>
      <c r="D490" t="inlineStr">
        <is>
          <t>VÄSTERBOTTENS LÄN</t>
        </is>
      </c>
      <c r="E490" t="inlineStr">
        <is>
          <t>VINDELN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59117-2022</t>
        </is>
      </c>
      <c r="B491" s="1" t="n">
        <v>44904.43054398148</v>
      </c>
      <c r="C491" s="1" t="n">
        <v>45939</v>
      </c>
      <c r="D491" t="inlineStr">
        <is>
          <t>VÄSTERBOTTENS LÄN</t>
        </is>
      </c>
      <c r="E491" t="inlineStr">
        <is>
          <t>VINDELN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4680-2024</t>
        </is>
      </c>
      <c r="B492" s="1" t="n">
        <v>45328</v>
      </c>
      <c r="C492" s="1" t="n">
        <v>45939</v>
      </c>
      <c r="D492" t="inlineStr">
        <is>
          <t>VÄSTERBOTTENS LÄN</t>
        </is>
      </c>
      <c r="E492" t="inlineStr">
        <is>
          <t>VINDELN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54220-2023</t>
        </is>
      </c>
      <c r="B493" s="1" t="n">
        <v>45232</v>
      </c>
      <c r="C493" s="1" t="n">
        <v>45939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38679-2025</t>
        </is>
      </c>
      <c r="B494" s="1" t="n">
        <v>45884.64471064815</v>
      </c>
      <c r="C494" s="1" t="n">
        <v>45939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Naturvårdsverket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50077-2023</t>
        </is>
      </c>
      <c r="B495" s="1" t="n">
        <v>45215.57974537037</v>
      </c>
      <c r="C495" s="1" t="n">
        <v>45939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16995-2025</t>
        </is>
      </c>
      <c r="B496" s="1" t="n">
        <v>45755.51520833333</v>
      </c>
      <c r="C496" s="1" t="n">
        <v>45939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49629-2021</t>
        </is>
      </c>
      <c r="B497" s="1" t="n">
        <v>44455.43973379629</v>
      </c>
      <c r="C497" s="1" t="n">
        <v>45939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8974-2022</t>
        </is>
      </c>
      <c r="B498" s="1" t="n">
        <v>44614</v>
      </c>
      <c r="C498" s="1" t="n">
        <v>45939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55483-2023</t>
        </is>
      </c>
      <c r="B499" s="1" t="n">
        <v>45231</v>
      </c>
      <c r="C499" s="1" t="n">
        <v>45939</v>
      </c>
      <c r="D499" t="inlineStr">
        <is>
          <t>VÄSTERBOTTENS LÄN</t>
        </is>
      </c>
      <c r="E499" t="inlineStr">
        <is>
          <t>VINDELN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41626-2024</t>
        </is>
      </c>
      <c r="B500" s="1" t="n">
        <v>45560.60815972222</v>
      </c>
      <c r="C500" s="1" t="n">
        <v>45939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4366-2025</t>
        </is>
      </c>
      <c r="B501" s="1" t="n">
        <v>45686</v>
      </c>
      <c r="C501" s="1" t="n">
        <v>45939</v>
      </c>
      <c r="D501" t="inlineStr">
        <is>
          <t>VÄSTERBOTTENS LÄN</t>
        </is>
      </c>
      <c r="E501" t="inlineStr">
        <is>
          <t>VINDELN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36316-2024</t>
        </is>
      </c>
      <c r="B502" s="1" t="n">
        <v>45534</v>
      </c>
      <c r="C502" s="1" t="n">
        <v>45939</v>
      </c>
      <c r="D502" t="inlineStr">
        <is>
          <t>VÄSTERBOTTENS LÄN</t>
        </is>
      </c>
      <c r="E502" t="inlineStr">
        <is>
          <t>VINDELN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33040-2024</t>
        </is>
      </c>
      <c r="B503" s="1" t="n">
        <v>45517.61046296296</v>
      </c>
      <c r="C503" s="1" t="n">
        <v>45939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22511-2023</t>
        </is>
      </c>
      <c r="B504" s="1" t="n">
        <v>45069</v>
      </c>
      <c r="C504" s="1" t="n">
        <v>45939</v>
      </c>
      <c r="D504" t="inlineStr">
        <is>
          <t>VÄSTERBOTTENS LÄN</t>
        </is>
      </c>
      <c r="E504" t="inlineStr">
        <is>
          <t>VINDELN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55988-2023</t>
        </is>
      </c>
      <c r="B505" s="1" t="n">
        <v>45240</v>
      </c>
      <c r="C505" s="1" t="n">
        <v>45939</v>
      </c>
      <c r="D505" t="inlineStr">
        <is>
          <t>VÄSTERBOTTENS LÄN</t>
        </is>
      </c>
      <c r="E505" t="inlineStr">
        <is>
          <t>VINDELN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959-2025</t>
        </is>
      </c>
      <c r="B506" s="1" t="n">
        <v>45666</v>
      </c>
      <c r="C506" s="1" t="n">
        <v>45939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10618-2025</t>
        </is>
      </c>
      <c r="B507" s="1" t="n">
        <v>45721</v>
      </c>
      <c r="C507" s="1" t="n">
        <v>45939</v>
      </c>
      <c r="D507" t="inlineStr">
        <is>
          <t>VÄSTERBOTTENS LÄN</t>
        </is>
      </c>
      <c r="E507" t="inlineStr">
        <is>
          <t>VINDELN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40144-2024</t>
        </is>
      </c>
      <c r="B508" s="1" t="n">
        <v>45554.49422453704</v>
      </c>
      <c r="C508" s="1" t="n">
        <v>45939</v>
      </c>
      <c r="D508" t="inlineStr">
        <is>
          <t>VÄSTERBOTTENS LÄN</t>
        </is>
      </c>
      <c r="E508" t="inlineStr">
        <is>
          <t>VINDELN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39208-2023</t>
        </is>
      </c>
      <c r="B509" s="1" t="n">
        <v>45166.41417824074</v>
      </c>
      <c r="C509" s="1" t="n">
        <v>45939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13025-2024</t>
        </is>
      </c>
      <c r="B510" s="1" t="n">
        <v>45385</v>
      </c>
      <c r="C510" s="1" t="n">
        <v>45939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16132-2025</t>
        </is>
      </c>
      <c r="B511" s="1" t="n">
        <v>45750.43831018519</v>
      </c>
      <c r="C511" s="1" t="n">
        <v>45939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22509-2023</t>
        </is>
      </c>
      <c r="B512" s="1" t="n">
        <v>45069</v>
      </c>
      <c r="C512" s="1" t="n">
        <v>45939</v>
      </c>
      <c r="D512" t="inlineStr">
        <is>
          <t>VÄSTERBOTTENS LÄN</t>
        </is>
      </c>
      <c r="E512" t="inlineStr">
        <is>
          <t>VINDELN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13237-2025</t>
        </is>
      </c>
      <c r="B513" s="1" t="n">
        <v>45735.47212962963</v>
      </c>
      <c r="C513" s="1" t="n">
        <v>45939</v>
      </c>
      <c r="D513" t="inlineStr">
        <is>
          <t>VÄSTERBOTTENS LÄN</t>
        </is>
      </c>
      <c r="E513" t="inlineStr">
        <is>
          <t>VINDELN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38530-2025</t>
        </is>
      </c>
      <c r="B514" s="1" t="n">
        <v>45884.41150462963</v>
      </c>
      <c r="C514" s="1" t="n">
        <v>45939</v>
      </c>
      <c r="D514" t="inlineStr">
        <is>
          <t>VÄSTERBOTTENS LÄN</t>
        </is>
      </c>
      <c r="E514" t="inlineStr">
        <is>
          <t>VINDELN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18489-2025</t>
        </is>
      </c>
      <c r="B515" s="1" t="n">
        <v>45763.33773148148</v>
      </c>
      <c r="C515" s="1" t="n">
        <v>45939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3780-2024</t>
        </is>
      </c>
      <c r="B516" s="1" t="n">
        <v>45321.5905787037</v>
      </c>
      <c r="C516" s="1" t="n">
        <v>45939</v>
      </c>
      <c r="D516" t="inlineStr">
        <is>
          <t>VÄSTERBOTTENS LÄN</t>
        </is>
      </c>
      <c r="E516" t="inlineStr">
        <is>
          <t>VINDELN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8273-2023</t>
        </is>
      </c>
      <c r="B517" s="1" t="n">
        <v>44971</v>
      </c>
      <c r="C517" s="1" t="n">
        <v>45939</v>
      </c>
      <c r="D517" t="inlineStr">
        <is>
          <t>VÄSTERBOTTENS LÄN</t>
        </is>
      </c>
      <c r="E517" t="inlineStr">
        <is>
          <t>VINDELN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47444-2022</t>
        </is>
      </c>
      <c r="B518" s="1" t="n">
        <v>44851</v>
      </c>
      <c r="C518" s="1" t="n">
        <v>45939</v>
      </c>
      <c r="D518" t="inlineStr">
        <is>
          <t>VÄSTERBOTTENS LÄN</t>
        </is>
      </c>
      <c r="E518" t="inlineStr">
        <is>
          <t>VINDELN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19939-2025</t>
        </is>
      </c>
      <c r="B519" s="1" t="n">
        <v>45771.64439814815</v>
      </c>
      <c r="C519" s="1" t="n">
        <v>45939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5783-2023</t>
        </is>
      </c>
      <c r="B520" s="1" t="n">
        <v>44963</v>
      </c>
      <c r="C520" s="1" t="n">
        <v>45939</v>
      </c>
      <c r="D520" t="inlineStr">
        <is>
          <t>VÄSTERBOTTENS LÄN</t>
        </is>
      </c>
      <c r="E520" t="inlineStr">
        <is>
          <t>VINDELN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15750-2025</t>
        </is>
      </c>
      <c r="B521" s="1" t="n">
        <v>45748.55476851852</v>
      </c>
      <c r="C521" s="1" t="n">
        <v>45939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24873-2021</t>
        </is>
      </c>
      <c r="B522" s="1" t="n">
        <v>44340</v>
      </c>
      <c r="C522" s="1" t="n">
        <v>45939</v>
      </c>
      <c r="D522" t="inlineStr">
        <is>
          <t>VÄSTERBOTTENS LÄN</t>
        </is>
      </c>
      <c r="E522" t="inlineStr">
        <is>
          <t>VINDELN</t>
        </is>
      </c>
      <c r="G522" t="n">
        <v>23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10534-2023</t>
        </is>
      </c>
      <c r="B523" s="1" t="n">
        <v>44987</v>
      </c>
      <c r="C523" s="1" t="n">
        <v>45939</v>
      </c>
      <c r="D523" t="inlineStr">
        <is>
          <t>VÄSTERBOTTENS LÄN</t>
        </is>
      </c>
      <c r="E523" t="inlineStr">
        <is>
          <t>VINDELN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13009-2024</t>
        </is>
      </c>
      <c r="B524" s="1" t="n">
        <v>45385.57305555556</v>
      </c>
      <c r="C524" s="1" t="n">
        <v>45939</v>
      </c>
      <c r="D524" t="inlineStr">
        <is>
          <t>VÄSTERBOTTENS LÄN</t>
        </is>
      </c>
      <c r="E524" t="inlineStr">
        <is>
          <t>VINDELN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32145-2024</t>
        </is>
      </c>
      <c r="B525" s="1" t="n">
        <v>45511.55541666667</v>
      </c>
      <c r="C525" s="1" t="n">
        <v>45939</v>
      </c>
      <c r="D525" t="inlineStr">
        <is>
          <t>VÄSTERBOTTENS LÄN</t>
        </is>
      </c>
      <c r="E525" t="inlineStr">
        <is>
          <t>VINDELN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13202-2022</t>
        </is>
      </c>
      <c r="B526" s="1" t="n">
        <v>44644.54197916666</v>
      </c>
      <c r="C526" s="1" t="n">
        <v>45939</v>
      </c>
      <c r="D526" t="inlineStr">
        <is>
          <t>VÄSTERBOTTENS LÄN</t>
        </is>
      </c>
      <c r="E526" t="inlineStr">
        <is>
          <t>VINDELN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49874-2023</t>
        </is>
      </c>
      <c r="B527" s="1" t="n">
        <v>45212.95622685185</v>
      </c>
      <c r="C527" s="1" t="n">
        <v>45939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53577-2023</t>
        </is>
      </c>
      <c r="B528" s="1" t="n">
        <v>45230</v>
      </c>
      <c r="C528" s="1" t="n">
        <v>45939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12308-2025</t>
        </is>
      </c>
      <c r="B529" s="1" t="n">
        <v>45729.78074074074</v>
      </c>
      <c r="C529" s="1" t="n">
        <v>45939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61395-2022</t>
        </is>
      </c>
      <c r="B530" s="1" t="n">
        <v>44915</v>
      </c>
      <c r="C530" s="1" t="n">
        <v>45939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62732-2022</t>
        </is>
      </c>
      <c r="B531" s="1" t="n">
        <v>44925.66795138889</v>
      </c>
      <c r="C531" s="1" t="n">
        <v>45939</v>
      </c>
      <c r="D531" t="inlineStr">
        <is>
          <t>VÄSTERBOTTENS LÄN</t>
        </is>
      </c>
      <c r="E531" t="inlineStr">
        <is>
          <t>VINDELN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38837-2025</t>
        </is>
      </c>
      <c r="B532" s="1" t="n">
        <v>45887.53356481482</v>
      </c>
      <c r="C532" s="1" t="n">
        <v>45939</v>
      </c>
      <c r="D532" t="inlineStr">
        <is>
          <t>VÄSTERBOTTENS LÄN</t>
        </is>
      </c>
      <c r="E532" t="inlineStr">
        <is>
          <t>VINDELN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47253-2025</t>
        </is>
      </c>
      <c r="B533" s="1" t="n">
        <v>45930</v>
      </c>
      <c r="C533" s="1" t="n">
        <v>45939</v>
      </c>
      <c r="D533" t="inlineStr">
        <is>
          <t>VÄSTERBOTTENS LÄN</t>
        </is>
      </c>
      <c r="E533" t="inlineStr">
        <is>
          <t>VINDELN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17511-2025</t>
        </is>
      </c>
      <c r="B534" s="1" t="n">
        <v>45757</v>
      </c>
      <c r="C534" s="1" t="n">
        <v>45939</v>
      </c>
      <c r="D534" t="inlineStr">
        <is>
          <t>VÄSTERBOTTENS LÄN</t>
        </is>
      </c>
      <c r="E534" t="inlineStr">
        <is>
          <t>VINDELN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38060-2023</t>
        </is>
      </c>
      <c r="B535" s="1" t="n">
        <v>45159</v>
      </c>
      <c r="C535" s="1" t="n">
        <v>45939</v>
      </c>
      <c r="D535" t="inlineStr">
        <is>
          <t>VÄSTERBOTTENS LÄN</t>
        </is>
      </c>
      <c r="E535" t="inlineStr">
        <is>
          <t>VINDELN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46714-2024</t>
        </is>
      </c>
      <c r="B536" s="1" t="n">
        <v>45583.4488425926</v>
      </c>
      <c r="C536" s="1" t="n">
        <v>45939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23471-2024</t>
        </is>
      </c>
      <c r="B537" s="1" t="n">
        <v>45453</v>
      </c>
      <c r="C537" s="1" t="n">
        <v>45939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61475-2022</t>
        </is>
      </c>
      <c r="B538" s="1" t="n">
        <v>44916</v>
      </c>
      <c r="C538" s="1" t="n">
        <v>45939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50084-2024</t>
        </is>
      </c>
      <c r="B539" s="1" t="n">
        <v>45597</v>
      </c>
      <c r="C539" s="1" t="n">
        <v>45939</v>
      </c>
      <c r="D539" t="inlineStr">
        <is>
          <t>VÄSTERBOTTENS LÄN</t>
        </is>
      </c>
      <c r="E539" t="inlineStr">
        <is>
          <t>VINDELN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21098-2023</t>
        </is>
      </c>
      <c r="B540" s="1" t="n">
        <v>45061.92824074074</v>
      </c>
      <c r="C540" s="1" t="n">
        <v>45939</v>
      </c>
      <c r="D540" t="inlineStr">
        <is>
          <t>VÄSTERBOTTENS LÄN</t>
        </is>
      </c>
      <c r="E540" t="inlineStr">
        <is>
          <t>VINDELN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40485-2024</t>
        </is>
      </c>
      <c r="B541" s="1" t="n">
        <v>45555.55734953703</v>
      </c>
      <c r="C541" s="1" t="n">
        <v>45939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13753-2025</t>
        </is>
      </c>
      <c r="B542" s="1" t="n">
        <v>45737.41443287037</v>
      </c>
      <c r="C542" s="1" t="n">
        <v>45939</v>
      </c>
      <c r="D542" t="inlineStr">
        <is>
          <t>VÄSTERBOTTENS LÄN</t>
        </is>
      </c>
      <c r="E542" t="inlineStr">
        <is>
          <t>VINDELN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38833-2025</t>
        </is>
      </c>
      <c r="B543" s="1" t="n">
        <v>45887.53068287037</v>
      </c>
      <c r="C543" s="1" t="n">
        <v>45939</v>
      </c>
      <c r="D543" t="inlineStr">
        <is>
          <t>VÄSTERBOTTENS LÄN</t>
        </is>
      </c>
      <c r="E543" t="inlineStr">
        <is>
          <t>VINDELN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8326-2022</t>
        </is>
      </c>
      <c r="B544" s="1" t="n">
        <v>44610</v>
      </c>
      <c r="C544" s="1" t="n">
        <v>45939</v>
      </c>
      <c r="D544" t="inlineStr">
        <is>
          <t>VÄSTERBOTTENS LÄN</t>
        </is>
      </c>
      <c r="E544" t="inlineStr">
        <is>
          <t>VINDELN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38832-2025</t>
        </is>
      </c>
      <c r="B545" s="1" t="n">
        <v>45887.52810185185</v>
      </c>
      <c r="C545" s="1" t="n">
        <v>45939</v>
      </c>
      <c r="D545" t="inlineStr">
        <is>
          <t>VÄSTERBOTTENS LÄN</t>
        </is>
      </c>
      <c r="E545" t="inlineStr">
        <is>
          <t>VINDELN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46840-2025</t>
        </is>
      </c>
      <c r="B546" s="1" t="n">
        <v>45928.44752314815</v>
      </c>
      <c r="C546" s="1" t="n">
        <v>45939</v>
      </c>
      <c r="D546" t="inlineStr">
        <is>
          <t>VÄSTERBOTTENS LÄN</t>
        </is>
      </c>
      <c r="E546" t="inlineStr">
        <is>
          <t>VINDELN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14231-2025</t>
        </is>
      </c>
      <c r="B547" s="1" t="n">
        <v>45740.6012962963</v>
      </c>
      <c r="C547" s="1" t="n">
        <v>45939</v>
      </c>
      <c r="D547" t="inlineStr">
        <is>
          <t>VÄSTERBOTTENS LÄN</t>
        </is>
      </c>
      <c r="E547" t="inlineStr">
        <is>
          <t>VINDELN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59160-2021</t>
        </is>
      </c>
      <c r="B548" s="1" t="n">
        <v>44490</v>
      </c>
      <c r="C548" s="1" t="n">
        <v>45939</v>
      </c>
      <c r="D548" t="inlineStr">
        <is>
          <t>VÄSTERBOTTENS LÄN</t>
        </is>
      </c>
      <c r="E548" t="inlineStr">
        <is>
          <t>VINDELN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2429-2025</t>
        </is>
      </c>
      <c r="B549" s="1" t="n">
        <v>45674.40556712963</v>
      </c>
      <c r="C549" s="1" t="n">
        <v>45939</v>
      </c>
      <c r="D549" t="inlineStr">
        <is>
          <t>VÄSTERBOTTENS LÄN</t>
        </is>
      </c>
      <c r="E549" t="inlineStr">
        <is>
          <t>VINDELN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27038-2025</t>
        </is>
      </c>
      <c r="B550" s="1" t="n">
        <v>45811.60011574074</v>
      </c>
      <c r="C550" s="1" t="n">
        <v>45939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50646-2024</t>
        </is>
      </c>
      <c r="B551" s="1" t="n">
        <v>45601.69196759259</v>
      </c>
      <c r="C551" s="1" t="n">
        <v>45939</v>
      </c>
      <c r="D551" t="inlineStr">
        <is>
          <t>VÄSTERBOTTENS LÄN</t>
        </is>
      </c>
      <c r="E551" t="inlineStr">
        <is>
          <t>VINDELN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47200-2025</t>
        </is>
      </c>
      <c r="B552" s="1" t="n">
        <v>45930.35950231482</v>
      </c>
      <c r="C552" s="1" t="n">
        <v>45939</v>
      </c>
      <c r="D552" t="inlineStr">
        <is>
          <t>VÄSTERBOTTENS LÄN</t>
        </is>
      </c>
      <c r="E552" t="inlineStr">
        <is>
          <t>VINDELN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46861-2025</t>
        </is>
      </c>
      <c r="B553" s="1" t="n">
        <v>45929.29958333333</v>
      </c>
      <c r="C553" s="1" t="n">
        <v>45939</v>
      </c>
      <c r="D553" t="inlineStr">
        <is>
          <t>VÄSTERBOTTENS LÄN</t>
        </is>
      </c>
      <c r="E553" t="inlineStr">
        <is>
          <t>VINDELN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46862-2025</t>
        </is>
      </c>
      <c r="B554" s="1" t="n">
        <v>45929.30164351852</v>
      </c>
      <c r="C554" s="1" t="n">
        <v>45939</v>
      </c>
      <c r="D554" t="inlineStr">
        <is>
          <t>VÄSTERBOTTENS LÄN</t>
        </is>
      </c>
      <c r="E554" t="inlineStr">
        <is>
          <t>VINDELN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14235-2025</t>
        </is>
      </c>
      <c r="B555" s="1" t="n">
        <v>45740.60420138889</v>
      </c>
      <c r="C555" s="1" t="n">
        <v>45939</v>
      </c>
      <c r="D555" t="inlineStr">
        <is>
          <t>VÄSTERBOTTENS LÄN</t>
        </is>
      </c>
      <c r="E555" t="inlineStr">
        <is>
          <t>VINDELN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22907-2024</t>
        </is>
      </c>
      <c r="B556" s="1" t="n">
        <v>45448</v>
      </c>
      <c r="C556" s="1" t="n">
        <v>45939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46839-2025</t>
        </is>
      </c>
      <c r="B557" s="1" t="n">
        <v>45928.44722222222</v>
      </c>
      <c r="C557" s="1" t="n">
        <v>45939</v>
      </c>
      <c r="D557" t="inlineStr">
        <is>
          <t>VÄSTERBOTTENS LÄN</t>
        </is>
      </c>
      <c r="E557" t="inlineStr">
        <is>
          <t>VINDELN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61497-2022</t>
        </is>
      </c>
      <c r="B558" s="1" t="n">
        <v>44910</v>
      </c>
      <c r="C558" s="1" t="n">
        <v>45939</v>
      </c>
      <c r="D558" t="inlineStr">
        <is>
          <t>VÄSTERBOTTENS LÄN</t>
        </is>
      </c>
      <c r="E558" t="inlineStr">
        <is>
          <t>VINDELN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35128-2024</t>
        </is>
      </c>
      <c r="B559" s="1" t="n">
        <v>45530</v>
      </c>
      <c r="C559" s="1" t="n">
        <v>45939</v>
      </c>
      <c r="D559" t="inlineStr">
        <is>
          <t>VÄSTERBOTTENS LÄN</t>
        </is>
      </c>
      <c r="E559" t="inlineStr">
        <is>
          <t>VINDELN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41668-2024</t>
        </is>
      </c>
      <c r="B560" s="1" t="n">
        <v>45560.65291666667</v>
      </c>
      <c r="C560" s="1" t="n">
        <v>45939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41498-2024</t>
        </is>
      </c>
      <c r="B561" s="1" t="n">
        <v>45560.46020833333</v>
      </c>
      <c r="C561" s="1" t="n">
        <v>45939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37543-2024</t>
        </is>
      </c>
      <c r="B562" s="1" t="n">
        <v>45541.42739583334</v>
      </c>
      <c r="C562" s="1" t="n">
        <v>45939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37544-2024</t>
        </is>
      </c>
      <c r="B563" s="1" t="n">
        <v>45541.42741898148</v>
      </c>
      <c r="C563" s="1" t="n">
        <v>45939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4210-2025</t>
        </is>
      </c>
      <c r="B564" s="1" t="n">
        <v>45685.48523148148</v>
      </c>
      <c r="C564" s="1" t="n">
        <v>45939</v>
      </c>
      <c r="D564" t="inlineStr">
        <is>
          <t>VÄSTERBOTTENS LÄN</t>
        </is>
      </c>
      <c r="E564" t="inlineStr">
        <is>
          <t>VINDELN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728-2025</t>
        </is>
      </c>
      <c r="B565" s="1" t="n">
        <v>45665</v>
      </c>
      <c r="C565" s="1" t="n">
        <v>45939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60864-2024</t>
        </is>
      </c>
      <c r="B566" s="1" t="n">
        <v>45644.69378472222</v>
      </c>
      <c r="C566" s="1" t="n">
        <v>45939</v>
      </c>
      <c r="D566" t="inlineStr">
        <is>
          <t>VÄSTERBOTTENS LÄN</t>
        </is>
      </c>
      <c r="E566" t="inlineStr">
        <is>
          <t>VINDELN</t>
        </is>
      </c>
      <c r="G566" t="n">
        <v>13.3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39566-2025</t>
        </is>
      </c>
      <c r="B567" s="1" t="n">
        <v>45890.4875925926</v>
      </c>
      <c r="C567" s="1" t="n">
        <v>45939</v>
      </c>
      <c r="D567" t="inlineStr">
        <is>
          <t>VÄSTERBOTTENS LÄN</t>
        </is>
      </c>
      <c r="E567" t="inlineStr">
        <is>
          <t>VINDELN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49587-2024</t>
        </is>
      </c>
      <c r="B568" s="1" t="n">
        <v>45596</v>
      </c>
      <c r="C568" s="1" t="n">
        <v>45939</v>
      </c>
      <c r="D568" t="inlineStr">
        <is>
          <t>VÄSTERBOTTENS LÄN</t>
        </is>
      </c>
      <c r="E568" t="inlineStr">
        <is>
          <t>VINDELN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17702-2025</t>
        </is>
      </c>
      <c r="B569" s="1" t="n">
        <v>45758.42686342593</v>
      </c>
      <c r="C569" s="1" t="n">
        <v>45939</v>
      </c>
      <c r="D569" t="inlineStr">
        <is>
          <t>VÄSTERBOTTENS LÄN</t>
        </is>
      </c>
      <c r="E569" t="inlineStr">
        <is>
          <t>VINDELN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24756-2024</t>
        </is>
      </c>
      <c r="B570" s="1" t="n">
        <v>45460</v>
      </c>
      <c r="C570" s="1" t="n">
        <v>45939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39476-2025</t>
        </is>
      </c>
      <c r="B571" s="1" t="n">
        <v>45890.3446412037</v>
      </c>
      <c r="C571" s="1" t="n">
        <v>45939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31904-2024</t>
        </is>
      </c>
      <c r="B572" s="1" t="n">
        <v>45510</v>
      </c>
      <c r="C572" s="1" t="n">
        <v>45939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14352-2025</t>
        </is>
      </c>
      <c r="B573" s="1" t="n">
        <v>45741.36424768518</v>
      </c>
      <c r="C573" s="1" t="n">
        <v>45939</v>
      </c>
      <c r="D573" t="inlineStr">
        <is>
          <t>VÄSTERBOTTENS LÄN</t>
        </is>
      </c>
      <c r="E573" t="inlineStr">
        <is>
          <t>VINDELN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41096-2024</t>
        </is>
      </c>
      <c r="B574" s="1" t="n">
        <v>45559.43212962963</v>
      </c>
      <c r="C574" s="1" t="n">
        <v>45939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41107-2024</t>
        </is>
      </c>
      <c r="B575" s="1" t="n">
        <v>45559.44841435185</v>
      </c>
      <c r="C575" s="1" t="n">
        <v>45939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41113-2024</t>
        </is>
      </c>
      <c r="B576" s="1" t="n">
        <v>45559.45069444444</v>
      </c>
      <c r="C576" s="1" t="n">
        <v>45939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39867-2025</t>
        </is>
      </c>
      <c r="B577" s="1" t="n">
        <v>45891.60611111111</v>
      </c>
      <c r="C577" s="1" t="n">
        <v>45939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38.7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40559-2024</t>
        </is>
      </c>
      <c r="B578" s="1" t="n">
        <v>45555.6578125</v>
      </c>
      <c r="C578" s="1" t="n">
        <v>45939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45408-2024</t>
        </is>
      </c>
      <c r="B579" s="1" t="n">
        <v>45576.58743055556</v>
      </c>
      <c r="C579" s="1" t="n">
        <v>45939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57474-2024</t>
        </is>
      </c>
      <c r="B580" s="1" t="n">
        <v>45630.34488425926</v>
      </c>
      <c r="C580" s="1" t="n">
        <v>45939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40024-2025</t>
        </is>
      </c>
      <c r="B581" s="1" t="n">
        <v>45894.36554398148</v>
      </c>
      <c r="C581" s="1" t="n">
        <v>45939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32992-2023</t>
        </is>
      </c>
      <c r="B582" s="1" t="n">
        <v>45113</v>
      </c>
      <c r="C582" s="1" t="n">
        <v>45939</v>
      </c>
      <c r="D582" t="inlineStr">
        <is>
          <t>VÄSTERBOTTENS LÄN</t>
        </is>
      </c>
      <c r="E582" t="inlineStr">
        <is>
          <t>VINDELN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2680-2023</t>
        </is>
      </c>
      <c r="B583" s="1" t="n">
        <v>44944</v>
      </c>
      <c r="C583" s="1" t="n">
        <v>45939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772-2025</t>
        </is>
      </c>
      <c r="B584" s="1" t="n">
        <v>45665.46650462963</v>
      </c>
      <c r="C584" s="1" t="n">
        <v>45939</v>
      </c>
      <c r="D584" t="inlineStr">
        <is>
          <t>VÄSTERBOTTENS LÄN</t>
        </is>
      </c>
      <c r="E584" t="inlineStr">
        <is>
          <t>VINDELN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7104-2025</t>
        </is>
      </c>
      <c r="B585" s="1" t="n">
        <v>45701.91782407407</v>
      </c>
      <c r="C585" s="1" t="n">
        <v>45939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3630-2024</t>
        </is>
      </c>
      <c r="B586" s="1" t="n">
        <v>45320.95357638889</v>
      </c>
      <c r="C586" s="1" t="n">
        <v>45939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49227-2025</t>
        </is>
      </c>
      <c r="B587" s="1" t="n">
        <v>45938.46792824074</v>
      </c>
      <c r="C587" s="1" t="n">
        <v>45939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40510-2024</t>
        </is>
      </c>
      <c r="B588" s="1" t="n">
        <v>45555.58457175926</v>
      </c>
      <c r="C588" s="1" t="n">
        <v>45939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Naturvårdsverket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60871-2024</t>
        </is>
      </c>
      <c r="B589" s="1" t="n">
        <v>45644.70871527777</v>
      </c>
      <c r="C589" s="1" t="n">
        <v>45939</v>
      </c>
      <c r="D589" t="inlineStr">
        <is>
          <t>VÄSTERBOTTENS LÄN</t>
        </is>
      </c>
      <c r="E589" t="inlineStr">
        <is>
          <t>VINDELN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1225-2022</t>
        </is>
      </c>
      <c r="B590" s="1" t="n">
        <v>44572</v>
      </c>
      <c r="C590" s="1" t="n">
        <v>45939</v>
      </c>
      <c r="D590" t="inlineStr">
        <is>
          <t>VÄSTERBOTTENS LÄN</t>
        </is>
      </c>
      <c r="E590" t="inlineStr">
        <is>
          <t>VINDELN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40390-2025</t>
        </is>
      </c>
      <c r="B591" s="1" t="n">
        <v>45895.55496527778</v>
      </c>
      <c r="C591" s="1" t="n">
        <v>45939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Naturvårdsverket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7150-2024</t>
        </is>
      </c>
      <c r="B592" s="1" t="n">
        <v>45344</v>
      </c>
      <c r="C592" s="1" t="n">
        <v>45939</v>
      </c>
      <c r="D592" t="inlineStr">
        <is>
          <t>VÄSTERBOTTENS LÄN</t>
        </is>
      </c>
      <c r="E592" t="inlineStr">
        <is>
          <t>VINDELN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36892-2024</t>
        </is>
      </c>
      <c r="B593" s="1" t="n">
        <v>45538.61142361111</v>
      </c>
      <c r="C593" s="1" t="n">
        <v>45939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41661-2024</t>
        </is>
      </c>
      <c r="B594" s="1" t="n">
        <v>45560.64589120371</v>
      </c>
      <c r="C594" s="1" t="n">
        <v>45939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40263-2025</t>
        </is>
      </c>
      <c r="B595" s="1" t="n">
        <v>45895.34429398148</v>
      </c>
      <c r="C595" s="1" t="n">
        <v>45939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48659-2025</t>
        </is>
      </c>
      <c r="B596" s="1" t="n">
        <v>45936.56694444444</v>
      </c>
      <c r="C596" s="1" t="n">
        <v>45939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50090-2021</t>
        </is>
      </c>
      <c r="B597" s="1" t="n">
        <v>44455</v>
      </c>
      <c r="C597" s="1" t="n">
        <v>45939</v>
      </c>
      <c r="D597" t="inlineStr">
        <is>
          <t>VÄSTERBOTTENS LÄN</t>
        </is>
      </c>
      <c r="E597" t="inlineStr">
        <is>
          <t>VINDELN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40531-2025</t>
        </is>
      </c>
      <c r="B598" s="1" t="n">
        <v>45896.38892361111</v>
      </c>
      <c r="C598" s="1" t="n">
        <v>45939</v>
      </c>
      <c r="D598" t="inlineStr">
        <is>
          <t>VÄSTERBOTTENS LÄN</t>
        </is>
      </c>
      <c r="E598" t="inlineStr">
        <is>
          <t>VINDELN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40264-2025</t>
        </is>
      </c>
      <c r="B599" s="1" t="n">
        <v>45895.34447916667</v>
      </c>
      <c r="C599" s="1" t="n">
        <v>45939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46264-2024</t>
        </is>
      </c>
      <c r="B600" s="1" t="n">
        <v>45581.615</v>
      </c>
      <c r="C600" s="1" t="n">
        <v>45939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20800-2025</t>
        </is>
      </c>
      <c r="B601" s="1" t="n">
        <v>45776.6444212963</v>
      </c>
      <c r="C601" s="1" t="n">
        <v>45939</v>
      </c>
      <c r="D601" t="inlineStr">
        <is>
          <t>VÄSTERBOTTENS LÄN</t>
        </is>
      </c>
      <c r="E601" t="inlineStr">
        <is>
          <t>VINDELN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48198-2025</t>
        </is>
      </c>
      <c r="B602" s="1" t="n">
        <v>45933.47787037037</v>
      </c>
      <c r="C602" s="1" t="n">
        <v>45939</v>
      </c>
      <c r="D602" t="inlineStr">
        <is>
          <t>VÄSTERBOTTENS LÄN</t>
        </is>
      </c>
      <c r="E602" t="inlineStr">
        <is>
          <t>VINDELN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20796-2025</t>
        </is>
      </c>
      <c r="B603" s="1" t="n">
        <v>45776.63987268518</v>
      </c>
      <c r="C603" s="1" t="n">
        <v>45939</v>
      </c>
      <c r="D603" t="inlineStr">
        <is>
          <t>VÄSTERBOTTENS LÄN</t>
        </is>
      </c>
      <c r="E603" t="inlineStr">
        <is>
          <t>VINDELN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20738-2025</t>
        </is>
      </c>
      <c r="B604" s="1" t="n">
        <v>45776</v>
      </c>
      <c r="C604" s="1" t="n">
        <v>45939</v>
      </c>
      <c r="D604" t="inlineStr">
        <is>
          <t>VÄSTERBOTTENS LÄN</t>
        </is>
      </c>
      <c r="E604" t="inlineStr">
        <is>
          <t>VINDELN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20647-2025</t>
        </is>
      </c>
      <c r="B605" s="1" t="n">
        <v>45776.38488425926</v>
      </c>
      <c r="C605" s="1" t="n">
        <v>45939</v>
      </c>
      <c r="D605" t="inlineStr">
        <is>
          <t>VÄSTERBOTTENS LÄN</t>
        </is>
      </c>
      <c r="E605" t="inlineStr">
        <is>
          <t>VINDELN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40600-2025</t>
        </is>
      </c>
      <c r="B606" s="1" t="n">
        <v>45896.55915509259</v>
      </c>
      <c r="C606" s="1" t="n">
        <v>45939</v>
      </c>
      <c r="D606" t="inlineStr">
        <is>
          <t>VÄSTERBOTTENS LÄN</t>
        </is>
      </c>
      <c r="E606" t="inlineStr">
        <is>
          <t>VINDELN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40603-2025</t>
        </is>
      </c>
      <c r="B607" s="1" t="n">
        <v>45896.56402777778</v>
      </c>
      <c r="C607" s="1" t="n">
        <v>45939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20941-2025</t>
        </is>
      </c>
      <c r="B608" s="1" t="n">
        <v>45777</v>
      </c>
      <c r="C608" s="1" t="n">
        <v>45939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20968-2025</t>
        </is>
      </c>
      <c r="B609" s="1" t="n">
        <v>45777</v>
      </c>
      <c r="C609" s="1" t="n">
        <v>45939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31.1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25704-2025</t>
        </is>
      </c>
      <c r="B610" s="1" t="n">
        <v>45803.6743287037</v>
      </c>
      <c r="C610" s="1" t="n">
        <v>45939</v>
      </c>
      <c r="D610" t="inlineStr">
        <is>
          <t>VÄSTERBOTTENS LÄN</t>
        </is>
      </c>
      <c r="E610" t="inlineStr">
        <is>
          <t>VINDELN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20900-2025</t>
        </is>
      </c>
      <c r="B611" s="1" t="n">
        <v>45777</v>
      </c>
      <c r="C611" s="1" t="n">
        <v>45939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21014-2025</t>
        </is>
      </c>
      <c r="B612" s="1" t="n">
        <v>45777</v>
      </c>
      <c r="C612" s="1" t="n">
        <v>45939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40532-2025</t>
        </is>
      </c>
      <c r="B613" s="1" t="n">
        <v>45896.39108796296</v>
      </c>
      <c r="C613" s="1" t="n">
        <v>45939</v>
      </c>
      <c r="D613" t="inlineStr">
        <is>
          <t>VÄSTERBOTTENS LÄN</t>
        </is>
      </c>
      <c r="E613" t="inlineStr">
        <is>
          <t>VINDELN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36064-2024</t>
        </is>
      </c>
      <c r="B614" s="1" t="n">
        <v>45533.64309027778</v>
      </c>
      <c r="C614" s="1" t="n">
        <v>45939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20962-2025</t>
        </is>
      </c>
      <c r="B615" s="1" t="n">
        <v>45777.44890046296</v>
      </c>
      <c r="C615" s="1" t="n">
        <v>45939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39319-2024</t>
        </is>
      </c>
      <c r="B616" s="1" t="n">
        <v>45551.41037037037</v>
      </c>
      <c r="C616" s="1" t="n">
        <v>45939</v>
      </c>
      <c r="D616" t="inlineStr">
        <is>
          <t>VÄSTERBOTTENS LÄN</t>
        </is>
      </c>
      <c r="E616" t="inlineStr">
        <is>
          <t>VINDELN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20964-2025</t>
        </is>
      </c>
      <c r="B617" s="1" t="n">
        <v>45777</v>
      </c>
      <c r="C617" s="1" t="n">
        <v>45939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31664-2023</t>
        </is>
      </c>
      <c r="B618" s="1" t="n">
        <v>45105</v>
      </c>
      <c r="C618" s="1" t="n">
        <v>45939</v>
      </c>
      <c r="D618" t="inlineStr">
        <is>
          <t>VÄSTERBOTTENS LÄN</t>
        </is>
      </c>
      <c r="E618" t="inlineStr">
        <is>
          <t>VINDELN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3431-2023</t>
        </is>
      </c>
      <c r="B619" s="1" t="n">
        <v>44949</v>
      </c>
      <c r="C619" s="1" t="n">
        <v>45939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45939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21510-2025</t>
        </is>
      </c>
      <c r="B621" s="1" t="n">
        <v>45782.62412037037</v>
      </c>
      <c r="C621" s="1" t="n">
        <v>45939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46012-2024</t>
        </is>
      </c>
      <c r="B622" s="1" t="n">
        <v>45580</v>
      </c>
      <c r="C622" s="1" t="n">
        <v>45939</v>
      </c>
      <c r="D622" t="inlineStr">
        <is>
          <t>VÄSTERBOTTENS LÄN</t>
        </is>
      </c>
      <c r="E622" t="inlineStr">
        <is>
          <t>VINDELN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59799-2021</t>
        </is>
      </c>
      <c r="B623" s="1" t="n">
        <v>44491</v>
      </c>
      <c r="C623" s="1" t="n">
        <v>45939</v>
      </c>
      <c r="D623" t="inlineStr">
        <is>
          <t>VÄSTERBOTTENS LÄN</t>
        </is>
      </c>
      <c r="E623" t="inlineStr">
        <is>
          <t>VINDELN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33822-2024</t>
        </is>
      </c>
      <c r="B624" s="1" t="n">
        <v>45520.61289351852</v>
      </c>
      <c r="C624" s="1" t="n">
        <v>45939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36655-2024</t>
        </is>
      </c>
      <c r="B625" s="1" t="n">
        <v>45537</v>
      </c>
      <c r="C625" s="1" t="n">
        <v>45939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36657-2024</t>
        </is>
      </c>
      <c r="B626" s="1" t="n">
        <v>45537</v>
      </c>
      <c r="C626" s="1" t="n">
        <v>45939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27887-2023</t>
        </is>
      </c>
      <c r="B627" s="1" t="n">
        <v>45098</v>
      </c>
      <c r="C627" s="1" t="n">
        <v>45939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1231-2023</t>
        </is>
      </c>
      <c r="B628" s="1" t="n">
        <v>44935</v>
      </c>
      <c r="C628" s="1" t="n">
        <v>45939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1232-2023</t>
        </is>
      </c>
      <c r="B629" s="1" t="n">
        <v>44935</v>
      </c>
      <c r="C629" s="1" t="n">
        <v>45939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1233-2023</t>
        </is>
      </c>
      <c r="B630" s="1" t="n">
        <v>44935</v>
      </c>
      <c r="C630" s="1" t="n">
        <v>45939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21700-2025</t>
        </is>
      </c>
      <c r="B631" s="1" t="n">
        <v>45783.51090277778</v>
      </c>
      <c r="C631" s="1" t="n">
        <v>45939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50840-2024</t>
        </is>
      </c>
      <c r="B632" s="1" t="n">
        <v>45602.6030787037</v>
      </c>
      <c r="C632" s="1" t="n">
        <v>45939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21650-2025</t>
        </is>
      </c>
      <c r="B633" s="1" t="n">
        <v>45783.44258101852</v>
      </c>
      <c r="C633" s="1" t="n">
        <v>45939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22371-2025</t>
        </is>
      </c>
      <c r="B634" s="1" t="n">
        <v>45786.47739583333</v>
      </c>
      <c r="C634" s="1" t="n">
        <v>45939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45939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60092-2021</t>
        </is>
      </c>
      <c r="B636" s="1" t="n">
        <v>44494</v>
      </c>
      <c r="C636" s="1" t="n">
        <v>45939</v>
      </c>
      <c r="D636" t="inlineStr">
        <is>
          <t>VÄSTERBOTTENS LÄN</t>
        </is>
      </c>
      <c r="E636" t="inlineStr">
        <is>
          <t>VINDELN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22410-2025</t>
        </is>
      </c>
      <c r="B637" s="1" t="n">
        <v>45786.5508449074</v>
      </c>
      <c r="C637" s="1" t="n">
        <v>45939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23446-2024</t>
        </is>
      </c>
      <c r="B638" s="1" t="n">
        <v>45453</v>
      </c>
      <c r="C638" s="1" t="n">
        <v>45939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22436-2025</t>
        </is>
      </c>
      <c r="B639" s="1" t="n">
        <v>45786.5847337963</v>
      </c>
      <c r="C639" s="1" t="n">
        <v>45939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50621-2024</t>
        </is>
      </c>
      <c r="B640" s="1" t="n">
        <v>45601</v>
      </c>
      <c r="C640" s="1" t="n">
        <v>45939</v>
      </c>
      <c r="D640" t="inlineStr">
        <is>
          <t>VÄSTERBOTTENS LÄN</t>
        </is>
      </c>
      <c r="E640" t="inlineStr">
        <is>
          <t>VINDELN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37211-2024</t>
        </is>
      </c>
      <c r="B641" s="1" t="n">
        <v>45539</v>
      </c>
      <c r="C641" s="1" t="n">
        <v>45939</v>
      </c>
      <c r="D641" t="inlineStr">
        <is>
          <t>VÄSTERBOTTENS LÄN</t>
        </is>
      </c>
      <c r="E641" t="inlineStr">
        <is>
          <t>VINDELN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22272-2025</t>
        </is>
      </c>
      <c r="B642" s="1" t="n">
        <v>45785.94577546296</v>
      </c>
      <c r="C642" s="1" t="n">
        <v>45939</v>
      </c>
      <c r="D642" t="inlineStr">
        <is>
          <t>VÄSTERBOTTENS LÄN</t>
        </is>
      </c>
      <c r="E642" t="inlineStr">
        <is>
          <t>VINDELN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31946-2024</t>
        </is>
      </c>
      <c r="B643" s="1" t="n">
        <v>45510</v>
      </c>
      <c r="C643" s="1" t="n">
        <v>45939</v>
      </c>
      <c r="D643" t="inlineStr">
        <is>
          <t>VÄSTERBOTTENS LÄN</t>
        </is>
      </c>
      <c r="E643" t="inlineStr">
        <is>
          <t>VINDELN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7996-2023</t>
        </is>
      </c>
      <c r="B644" s="1" t="n">
        <v>44973.80899305556</v>
      </c>
      <c r="C644" s="1" t="n">
        <v>45939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35615-2024</t>
        </is>
      </c>
      <c r="B645" s="1" t="n">
        <v>45531.69771990741</v>
      </c>
      <c r="C645" s="1" t="n">
        <v>45939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45192-2024</t>
        </is>
      </c>
      <c r="B646" s="1" t="n">
        <v>45575.67871527778</v>
      </c>
      <c r="C646" s="1" t="n">
        <v>45939</v>
      </c>
      <c r="D646" t="inlineStr">
        <is>
          <t>VÄSTERBOTTENS LÄN</t>
        </is>
      </c>
      <c r="E646" t="inlineStr">
        <is>
          <t>VINDELN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22451-2025</t>
        </is>
      </c>
      <c r="B647" s="1" t="n">
        <v>45786.60166666667</v>
      </c>
      <c r="C647" s="1" t="n">
        <v>45939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8643-2023</t>
        </is>
      </c>
      <c r="B648" s="1" t="n">
        <v>44977.98320601852</v>
      </c>
      <c r="C648" s="1" t="n">
        <v>45939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22896-2025</t>
        </is>
      </c>
      <c r="B649" s="1" t="n">
        <v>45790.40627314815</v>
      </c>
      <c r="C649" s="1" t="n">
        <v>45939</v>
      </c>
      <c r="D649" t="inlineStr">
        <is>
          <t>VÄSTERBOTTENS LÄN</t>
        </is>
      </c>
      <c r="E649" t="inlineStr">
        <is>
          <t>VINDELN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54016-2024</t>
        </is>
      </c>
      <c r="B650" s="1" t="n">
        <v>45616.38167824074</v>
      </c>
      <c r="C650" s="1" t="n">
        <v>45939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62341-2023</t>
        </is>
      </c>
      <c r="B651" s="1" t="n">
        <v>45267.92677083334</v>
      </c>
      <c r="C651" s="1" t="n">
        <v>45939</v>
      </c>
      <c r="D651" t="inlineStr">
        <is>
          <t>VÄSTERBOTTENS LÄN</t>
        </is>
      </c>
      <c r="E651" t="inlineStr">
        <is>
          <t>VINDELN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35068-2024</t>
        </is>
      </c>
      <c r="B652" s="1" t="n">
        <v>45527.66186342593</v>
      </c>
      <c r="C652" s="1" t="n">
        <v>45939</v>
      </c>
      <c r="D652" t="inlineStr">
        <is>
          <t>VÄSTERBOTTENS LÄN</t>
        </is>
      </c>
      <c r="E652" t="inlineStr">
        <is>
          <t>VINDELN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16844-2025</t>
        </is>
      </c>
      <c r="B653" s="1" t="n">
        <v>45754.67600694444</v>
      </c>
      <c r="C653" s="1" t="n">
        <v>45939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22550-2025</t>
        </is>
      </c>
      <c r="B654" s="1" t="n">
        <v>45788.52340277778</v>
      </c>
      <c r="C654" s="1" t="n">
        <v>45939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61523-2022</t>
        </is>
      </c>
      <c r="B655" s="1" t="n">
        <v>44916</v>
      </c>
      <c r="C655" s="1" t="n">
        <v>45939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858-2025</t>
        </is>
      </c>
      <c r="B656" s="1" t="n">
        <v>45665</v>
      </c>
      <c r="C656" s="1" t="n">
        <v>45939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Naturvårdsverket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15571-2023</t>
        </is>
      </c>
      <c r="B657" s="1" t="n">
        <v>45019</v>
      </c>
      <c r="C657" s="1" t="n">
        <v>45939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24706-2024</t>
        </is>
      </c>
      <c r="B658" s="1" t="n">
        <v>45460.62152777778</v>
      </c>
      <c r="C658" s="1" t="n">
        <v>45939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22557-2025</t>
        </is>
      </c>
      <c r="B659" s="1" t="n">
        <v>45789.29510416667</v>
      </c>
      <c r="C659" s="1" t="n">
        <v>45939</v>
      </c>
      <c r="D659" t="inlineStr">
        <is>
          <t>VÄSTERBOTTENS LÄN</t>
        </is>
      </c>
      <c r="E659" t="inlineStr">
        <is>
          <t>VINDELN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22764-2025</t>
        </is>
      </c>
      <c r="B660" s="1" t="n">
        <v>45789.6282175926</v>
      </c>
      <c r="C660" s="1" t="n">
        <v>45939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22560-2025</t>
        </is>
      </c>
      <c r="B661" s="1" t="n">
        <v>45789.33638888889</v>
      </c>
      <c r="C661" s="1" t="n">
        <v>45939</v>
      </c>
      <c r="D661" t="inlineStr">
        <is>
          <t>VÄSTERBOTTENS LÄN</t>
        </is>
      </c>
      <c r="E661" t="inlineStr">
        <is>
          <t>VINDELN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46483-2024</t>
        </is>
      </c>
      <c r="B662" s="1" t="n">
        <v>45582.5741087963</v>
      </c>
      <c r="C662" s="1" t="n">
        <v>45939</v>
      </c>
      <c r="D662" t="inlineStr">
        <is>
          <t>VÄSTERBOTTENS LÄN</t>
        </is>
      </c>
      <c r="E662" t="inlineStr">
        <is>
          <t>VINDELN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33701-2023</t>
        </is>
      </c>
      <c r="B663" s="1" t="n">
        <v>45132</v>
      </c>
      <c r="C663" s="1" t="n">
        <v>45939</v>
      </c>
      <c r="D663" t="inlineStr">
        <is>
          <t>VÄSTERBOTTENS LÄN</t>
        </is>
      </c>
      <c r="E663" t="inlineStr">
        <is>
          <t>VINDELN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43754-2024</t>
        </is>
      </c>
      <c r="B664" s="1" t="n">
        <v>45569.67591435185</v>
      </c>
      <c r="C664" s="1" t="n">
        <v>45939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Naturvårdsverket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378-2024</t>
        </is>
      </c>
      <c r="B665" s="1" t="n">
        <v>45296</v>
      </c>
      <c r="C665" s="1" t="n">
        <v>45939</v>
      </c>
      <c r="D665" t="inlineStr">
        <is>
          <t>VÄSTERBOTTENS LÄN</t>
        </is>
      </c>
      <c r="E665" t="inlineStr">
        <is>
          <t>VINDELN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35909-2023</t>
        </is>
      </c>
      <c r="B666" s="1" t="n">
        <v>45148</v>
      </c>
      <c r="C666" s="1" t="n">
        <v>45939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35294-2023</t>
        </is>
      </c>
      <c r="B667" s="1" t="n">
        <v>45145</v>
      </c>
      <c r="C667" s="1" t="n">
        <v>45939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20000-2025</t>
        </is>
      </c>
      <c r="B668" s="1" t="n">
        <v>45771.90070601852</v>
      </c>
      <c r="C668" s="1" t="n">
        <v>45939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20001-2025</t>
        </is>
      </c>
      <c r="B669" s="1" t="n">
        <v>45771</v>
      </c>
      <c r="C669" s="1" t="n">
        <v>45939</v>
      </c>
      <c r="D669" t="inlineStr">
        <is>
          <t>VÄSTERBOTTENS LÄN</t>
        </is>
      </c>
      <c r="E669" t="inlineStr">
        <is>
          <t>VINDELN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38315-2023</t>
        </is>
      </c>
      <c r="B670" s="1" t="n">
        <v>45161.6918287037</v>
      </c>
      <c r="C670" s="1" t="n">
        <v>45939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31397-2023</t>
        </is>
      </c>
      <c r="B671" s="1" t="n">
        <v>45114</v>
      </c>
      <c r="C671" s="1" t="n">
        <v>45939</v>
      </c>
      <c r="D671" t="inlineStr">
        <is>
          <t>VÄSTERBOTTENS LÄN</t>
        </is>
      </c>
      <c r="E671" t="inlineStr">
        <is>
          <t>VINDELN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38229-2024</t>
        </is>
      </c>
      <c r="B672" s="1" t="n">
        <v>45545.54909722223</v>
      </c>
      <c r="C672" s="1" t="n">
        <v>45939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33046-2024</t>
        </is>
      </c>
      <c r="B673" s="1" t="n">
        <v>45517.61690972222</v>
      </c>
      <c r="C673" s="1" t="n">
        <v>45939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14357-2022</t>
        </is>
      </c>
      <c r="B674" s="1" t="n">
        <v>44652</v>
      </c>
      <c r="C674" s="1" t="n">
        <v>45939</v>
      </c>
      <c r="D674" t="inlineStr">
        <is>
          <t>VÄSTERBOTTENS LÄN</t>
        </is>
      </c>
      <c r="E674" t="inlineStr">
        <is>
          <t>VINDELN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26489-2024</t>
        </is>
      </c>
      <c r="B675" s="1" t="n">
        <v>45469.5581712963</v>
      </c>
      <c r="C675" s="1" t="n">
        <v>45939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33132-2024</t>
        </is>
      </c>
      <c r="B676" s="1" t="n">
        <v>45518.31344907408</v>
      </c>
      <c r="C676" s="1" t="n">
        <v>45939</v>
      </c>
      <c r="D676" t="inlineStr">
        <is>
          <t>VÄSTERBOTTENS LÄN</t>
        </is>
      </c>
      <c r="E676" t="inlineStr">
        <is>
          <t>VINDELN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33206-2024</t>
        </is>
      </c>
      <c r="B677" s="1" t="n">
        <v>45518</v>
      </c>
      <c r="C677" s="1" t="n">
        <v>45939</v>
      </c>
      <c r="D677" t="inlineStr">
        <is>
          <t>VÄSTERBOTTENS LÄN</t>
        </is>
      </c>
      <c r="E677" t="inlineStr">
        <is>
          <t>VINDELN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24165-2025</t>
        </is>
      </c>
      <c r="B678" s="1" t="n">
        <v>45796.67317129629</v>
      </c>
      <c r="C678" s="1" t="n">
        <v>45939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1812-2025</t>
        </is>
      </c>
      <c r="B679" s="1" t="n">
        <v>45671.49204861111</v>
      </c>
      <c r="C679" s="1" t="n">
        <v>45939</v>
      </c>
      <c r="D679" t="inlineStr">
        <is>
          <t>VÄSTERBOTTENS LÄN</t>
        </is>
      </c>
      <c r="E679" t="inlineStr">
        <is>
          <t>VINDELN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36032-2024</t>
        </is>
      </c>
      <c r="B680" s="1" t="n">
        <v>45533</v>
      </c>
      <c r="C680" s="1" t="n">
        <v>45939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41172-2024</t>
        </is>
      </c>
      <c r="B681" s="1" t="n">
        <v>45559.48717592593</v>
      </c>
      <c r="C681" s="1" t="n">
        <v>45939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43535-2024</t>
        </is>
      </c>
      <c r="B682" s="1" t="n">
        <v>45569.35552083333</v>
      </c>
      <c r="C682" s="1" t="n">
        <v>45939</v>
      </c>
      <c r="D682" t="inlineStr">
        <is>
          <t>VÄSTERBOTTENS LÄN</t>
        </is>
      </c>
      <c r="E682" t="inlineStr">
        <is>
          <t>VINDELN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58544-2024</t>
        </is>
      </c>
      <c r="B683" s="1" t="n">
        <v>45635.45777777778</v>
      </c>
      <c r="C683" s="1" t="n">
        <v>45939</v>
      </c>
      <c r="D683" t="inlineStr">
        <is>
          <t>VÄSTERBOTTENS LÄN</t>
        </is>
      </c>
      <c r="E683" t="inlineStr">
        <is>
          <t>VINDELN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37250-2023</t>
        </is>
      </c>
      <c r="B684" s="1" t="n">
        <v>45155</v>
      </c>
      <c r="C684" s="1" t="n">
        <v>45939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23750-2025</t>
        </is>
      </c>
      <c r="B685" s="1" t="n">
        <v>45793.44913194444</v>
      </c>
      <c r="C685" s="1" t="n">
        <v>45939</v>
      </c>
      <c r="D685" t="inlineStr">
        <is>
          <t>VÄSTERBOTTENS LÄN</t>
        </is>
      </c>
      <c r="E685" t="inlineStr">
        <is>
          <t>VINDELN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23753-2025</t>
        </is>
      </c>
      <c r="B686" s="1" t="n">
        <v>45793</v>
      </c>
      <c r="C686" s="1" t="n">
        <v>45939</v>
      </c>
      <c r="D686" t="inlineStr">
        <is>
          <t>VÄSTERBOTTENS LÄN</t>
        </is>
      </c>
      <c r="E686" t="inlineStr">
        <is>
          <t>VINDELN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23744-2025</t>
        </is>
      </c>
      <c r="B687" s="1" t="n">
        <v>45793.44201388889</v>
      </c>
      <c r="C687" s="1" t="n">
        <v>45939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3631-2024</t>
        </is>
      </c>
      <c r="B688" s="1" t="n">
        <v>45320.95365740741</v>
      </c>
      <c r="C688" s="1" t="n">
        <v>45939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38035-2023</t>
        </is>
      </c>
      <c r="B689" s="1" t="n">
        <v>45159</v>
      </c>
      <c r="C689" s="1" t="n">
        <v>45939</v>
      </c>
      <c r="D689" t="inlineStr">
        <is>
          <t>VÄSTERBOTTENS LÄN</t>
        </is>
      </c>
      <c r="E689" t="inlineStr">
        <is>
          <t>VINDELN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23903-2025</t>
        </is>
      </c>
      <c r="B690" s="1" t="n">
        <v>45794</v>
      </c>
      <c r="C690" s="1" t="n">
        <v>45939</v>
      </c>
      <c r="D690" t="inlineStr">
        <is>
          <t>VÄSTERBOTTENS LÄN</t>
        </is>
      </c>
      <c r="E690" t="inlineStr">
        <is>
          <t>VINDELN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18567-2025</t>
        </is>
      </c>
      <c r="B691" s="1" t="n">
        <v>45763.45284722222</v>
      </c>
      <c r="C691" s="1" t="n">
        <v>45939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18598-2025</t>
        </is>
      </c>
      <c r="B692" s="1" t="n">
        <v>45763.48916666667</v>
      </c>
      <c r="C692" s="1" t="n">
        <v>45939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23749-2025</t>
        </is>
      </c>
      <c r="B693" s="1" t="n">
        <v>45793.44805555556</v>
      </c>
      <c r="C693" s="1" t="n">
        <v>45939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23995-2025</t>
        </is>
      </c>
      <c r="B694" s="1" t="n">
        <v>45796.41136574074</v>
      </c>
      <c r="C694" s="1" t="n">
        <v>45939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17016-2025</t>
        </is>
      </c>
      <c r="B695" s="1" t="n">
        <v>45755.55481481482</v>
      </c>
      <c r="C695" s="1" t="n">
        <v>45939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32734-2024</t>
        </is>
      </c>
      <c r="B696" s="1" t="n">
        <v>45516.43074074074</v>
      </c>
      <c r="C696" s="1" t="n">
        <v>45939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41398-2024</t>
        </is>
      </c>
      <c r="B697" s="1" t="n">
        <v>45560</v>
      </c>
      <c r="C697" s="1" t="n">
        <v>45939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Naturvårdsverket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41227-2024</t>
        </is>
      </c>
      <c r="B698" s="1" t="n">
        <v>45559.55923611111</v>
      </c>
      <c r="C698" s="1" t="n">
        <v>45939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24633-2025</t>
        </is>
      </c>
      <c r="B699" s="1" t="n">
        <v>45798.60709490741</v>
      </c>
      <c r="C699" s="1" t="n">
        <v>45939</v>
      </c>
      <c r="D699" t="inlineStr">
        <is>
          <t>VÄSTERBOTTENS LÄN</t>
        </is>
      </c>
      <c r="E699" t="inlineStr">
        <is>
          <t>VINDELN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57194-2024</t>
        </is>
      </c>
      <c r="B700" s="1" t="n">
        <v>45629.46908564815</v>
      </c>
      <c r="C700" s="1" t="n">
        <v>45939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40134-2024</t>
        </is>
      </c>
      <c r="B701" s="1" t="n">
        <v>45554.47363425926</v>
      </c>
      <c r="C701" s="1" t="n">
        <v>45939</v>
      </c>
      <c r="D701" t="inlineStr">
        <is>
          <t>VÄSTERBOTTENS LÄN</t>
        </is>
      </c>
      <c r="E701" t="inlineStr">
        <is>
          <t>VINDELN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32510-2024</t>
        </is>
      </c>
      <c r="B702" s="1" t="n">
        <v>45513.45313657408</v>
      </c>
      <c r="C702" s="1" t="n">
        <v>45939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752-2025</t>
        </is>
      </c>
      <c r="B703" s="1" t="n">
        <v>45665</v>
      </c>
      <c r="C703" s="1" t="n">
        <v>45939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53350-2024</t>
        </is>
      </c>
      <c r="B704" s="1" t="n">
        <v>45614.44863425926</v>
      </c>
      <c r="C704" s="1" t="n">
        <v>45939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38583-2022</t>
        </is>
      </c>
      <c r="B705" s="1" t="n">
        <v>44813.48686342593</v>
      </c>
      <c r="C705" s="1" t="n">
        <v>45939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43496-2024</t>
        </is>
      </c>
      <c r="B706" s="1" t="n">
        <v>45568.93936342592</v>
      </c>
      <c r="C706" s="1" t="n">
        <v>45939</v>
      </c>
      <c r="D706" t="inlineStr">
        <is>
          <t>VÄSTERBOTTENS LÄN</t>
        </is>
      </c>
      <c r="E706" t="inlineStr">
        <is>
          <t>VINDELN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41099-2024</t>
        </is>
      </c>
      <c r="B707" s="1" t="n">
        <v>45559.43377314815</v>
      </c>
      <c r="C707" s="1" t="n">
        <v>45939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49557-2024</t>
        </is>
      </c>
      <c r="B708" s="1" t="n">
        <v>45596.46950231482</v>
      </c>
      <c r="C708" s="1" t="n">
        <v>45939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56784-2024</t>
        </is>
      </c>
      <c r="B709" s="1" t="n">
        <v>45628</v>
      </c>
      <c r="C709" s="1" t="n">
        <v>45939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27249-2024</t>
        </is>
      </c>
      <c r="B710" s="1" t="n">
        <v>45471</v>
      </c>
      <c r="C710" s="1" t="n">
        <v>45939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23217-2024</t>
        </is>
      </c>
      <c r="B711" s="1" t="n">
        <v>45452.64719907408</v>
      </c>
      <c r="C711" s="1" t="n">
        <v>45939</v>
      </c>
      <c r="D711" t="inlineStr">
        <is>
          <t>VÄSTERBOTTENS LÄN</t>
        </is>
      </c>
      <c r="E711" t="inlineStr">
        <is>
          <t>VINDELN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28846-2023</t>
        </is>
      </c>
      <c r="B712" s="1" t="n">
        <v>45104.42267361111</v>
      </c>
      <c r="C712" s="1" t="n">
        <v>45939</v>
      </c>
      <c r="D712" t="inlineStr">
        <is>
          <t>VÄSTERBOTTENS LÄN</t>
        </is>
      </c>
      <c r="E712" t="inlineStr">
        <is>
          <t>VINDELN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52403-2024</t>
        </is>
      </c>
      <c r="B713" s="1" t="n">
        <v>45609</v>
      </c>
      <c r="C713" s="1" t="n">
        <v>45939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45606-2024</t>
        </is>
      </c>
      <c r="B714" s="1" t="n">
        <v>45579.4434375</v>
      </c>
      <c r="C714" s="1" t="n">
        <v>45939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13878-2025</t>
        </is>
      </c>
      <c r="B715" s="1" t="n">
        <v>45737.59420138889</v>
      </c>
      <c r="C715" s="1" t="n">
        <v>45939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50512-2023</t>
        </is>
      </c>
      <c r="B716" s="1" t="n">
        <v>45216.95886574074</v>
      </c>
      <c r="C716" s="1" t="n">
        <v>45939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60980-2024</t>
        </is>
      </c>
      <c r="B717" s="1" t="n">
        <v>45645.41027777778</v>
      </c>
      <c r="C717" s="1" t="n">
        <v>45939</v>
      </c>
      <c r="D717" t="inlineStr">
        <is>
          <t>VÄSTERBOTTENS LÄN</t>
        </is>
      </c>
      <c r="E717" t="inlineStr">
        <is>
          <t>VINDELN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58554-2024</t>
        </is>
      </c>
      <c r="B718" s="1" t="n">
        <v>45635</v>
      </c>
      <c r="C718" s="1" t="n">
        <v>45939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50997-2024</t>
        </is>
      </c>
      <c r="B719" s="1" t="n">
        <v>45603.3777662037</v>
      </c>
      <c r="C719" s="1" t="n">
        <v>45939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48135-2024</t>
        </is>
      </c>
      <c r="B720" s="1" t="n">
        <v>45589.65295138889</v>
      </c>
      <c r="C720" s="1" t="n">
        <v>45939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25708-2025</t>
        </is>
      </c>
      <c r="B721" s="1" t="n">
        <v>45803.68094907407</v>
      </c>
      <c r="C721" s="1" t="n">
        <v>45939</v>
      </c>
      <c r="D721" t="inlineStr">
        <is>
          <t>VÄSTERBOTTENS LÄN</t>
        </is>
      </c>
      <c r="E721" t="inlineStr">
        <is>
          <t>VINDELN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43080-2024</t>
        </is>
      </c>
      <c r="B722" s="1" t="n">
        <v>45567.50909722222</v>
      </c>
      <c r="C722" s="1" t="n">
        <v>45939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25686-2025</t>
        </is>
      </c>
      <c r="B723" s="1" t="n">
        <v>45803.65416666667</v>
      </c>
      <c r="C723" s="1" t="n">
        <v>45939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2804-2025</t>
        </is>
      </c>
      <c r="B724" s="1" t="n">
        <v>45677.58578703704</v>
      </c>
      <c r="C724" s="1" t="n">
        <v>45939</v>
      </c>
      <c r="D724" t="inlineStr">
        <is>
          <t>VÄSTERBOTTENS LÄN</t>
        </is>
      </c>
      <c r="E724" t="inlineStr">
        <is>
          <t>VINDELN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26307-2025</t>
        </is>
      </c>
      <c r="B725" s="1" t="n">
        <v>45805.64918981482</v>
      </c>
      <c r="C725" s="1" t="n">
        <v>45939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19004-2024</t>
        </is>
      </c>
      <c r="B726" s="1" t="n">
        <v>45427</v>
      </c>
      <c r="C726" s="1" t="n">
        <v>45939</v>
      </c>
      <c r="D726" t="inlineStr">
        <is>
          <t>VÄSTERBOTTENS LÄN</t>
        </is>
      </c>
      <c r="E726" t="inlineStr">
        <is>
          <t>VINDELN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26168-2025</t>
        </is>
      </c>
      <c r="B727" s="1" t="n">
        <v>45805.4591087963</v>
      </c>
      <c r="C727" s="1" t="n">
        <v>45939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21638-2023</t>
        </is>
      </c>
      <c r="B728" s="1" t="n">
        <v>45063</v>
      </c>
      <c r="C728" s="1" t="n">
        <v>45939</v>
      </c>
      <c r="D728" t="inlineStr">
        <is>
          <t>VÄSTERBOTTENS LÄN</t>
        </is>
      </c>
      <c r="E728" t="inlineStr">
        <is>
          <t>VINDELN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26332-2025</t>
        </is>
      </c>
      <c r="B729" s="1" t="n">
        <v>45805.68605324074</v>
      </c>
      <c r="C729" s="1" t="n">
        <v>45939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26352-2025</t>
        </is>
      </c>
      <c r="B730" s="1" t="n">
        <v>45805.86056712963</v>
      </c>
      <c r="C730" s="1" t="n">
        <v>45939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26169-2025</t>
        </is>
      </c>
      <c r="B731" s="1" t="n">
        <v>45805.46100694445</v>
      </c>
      <c r="C731" s="1" t="n">
        <v>45939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52178-2022</t>
        </is>
      </c>
      <c r="B732" s="1" t="n">
        <v>44868</v>
      </c>
      <c r="C732" s="1" t="n">
        <v>45939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57325-2024</t>
        </is>
      </c>
      <c r="B733" s="1" t="n">
        <v>45629.62143518519</v>
      </c>
      <c r="C733" s="1" t="n">
        <v>45939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53349-2024</t>
        </is>
      </c>
      <c r="B734" s="1" t="n">
        <v>45614.44842592593</v>
      </c>
      <c r="C734" s="1" t="n">
        <v>45939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9620-2025</t>
        </is>
      </c>
      <c r="B735" s="1" t="n">
        <v>45715.67895833333</v>
      </c>
      <c r="C735" s="1" t="n">
        <v>45939</v>
      </c>
      <c r="D735" t="inlineStr">
        <is>
          <t>VÄSTERBOTTENS LÄN</t>
        </is>
      </c>
      <c r="E735" t="inlineStr">
        <is>
          <t>VINDELN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26512-2025</t>
        </is>
      </c>
      <c r="B736" s="1" t="n">
        <v>45807.54668981482</v>
      </c>
      <c r="C736" s="1" t="n">
        <v>45939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56001-2024</t>
        </is>
      </c>
      <c r="B737" s="1" t="n">
        <v>45623.70415509259</v>
      </c>
      <c r="C737" s="1" t="n">
        <v>45939</v>
      </c>
      <c r="D737" t="inlineStr">
        <is>
          <t>VÄSTERBOTTENS LÄN</t>
        </is>
      </c>
      <c r="E737" t="inlineStr">
        <is>
          <t>VINDELN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41662-2024</t>
        </is>
      </c>
      <c r="B738" s="1" t="n">
        <v>45560.64682870371</v>
      </c>
      <c r="C738" s="1" t="n">
        <v>45939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39809-2023</t>
        </is>
      </c>
      <c r="B739" s="1" t="n">
        <v>45167</v>
      </c>
      <c r="C739" s="1" t="n">
        <v>45939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43518-2023</t>
        </is>
      </c>
      <c r="B740" s="1" t="n">
        <v>45181</v>
      </c>
      <c r="C740" s="1" t="n">
        <v>45939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26522-2025</t>
        </is>
      </c>
      <c r="B741" s="1" t="n">
        <v>45807.56353009259</v>
      </c>
      <c r="C741" s="1" t="n">
        <v>45939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60071-2024</t>
        </is>
      </c>
      <c r="B742" s="1" t="n">
        <v>45642.52351851852</v>
      </c>
      <c r="C742" s="1" t="n">
        <v>45939</v>
      </c>
      <c r="D742" t="inlineStr">
        <is>
          <t>VÄSTERBOTTENS LÄN</t>
        </is>
      </c>
      <c r="E742" t="inlineStr">
        <is>
          <t>VINDELN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745-2025</t>
        </is>
      </c>
      <c r="B743" s="1" t="n">
        <v>45665.43612268518</v>
      </c>
      <c r="C743" s="1" t="n">
        <v>45939</v>
      </c>
      <c r="D743" t="inlineStr">
        <is>
          <t>VÄSTERBOTTENS LÄN</t>
        </is>
      </c>
      <c r="E743" t="inlineStr">
        <is>
          <t>VINDELN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5248-2024</t>
        </is>
      </c>
      <c r="B744" s="1" t="n">
        <v>45330</v>
      </c>
      <c r="C744" s="1" t="n">
        <v>45939</v>
      </c>
      <c r="D744" t="inlineStr">
        <is>
          <t>VÄSTERBOTTENS LÄN</t>
        </is>
      </c>
      <c r="E744" t="inlineStr">
        <is>
          <t>VINDELN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26769-2025</t>
        </is>
      </c>
      <c r="B745" s="1" t="n">
        <v>45810.56748842593</v>
      </c>
      <c r="C745" s="1" t="n">
        <v>45939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989-2025</t>
        </is>
      </c>
      <c r="B746" s="1" t="n">
        <v>45666</v>
      </c>
      <c r="C746" s="1" t="n">
        <v>45939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2661-2025</t>
        </is>
      </c>
      <c r="B747" s="1" t="n">
        <v>45676.86069444445</v>
      </c>
      <c r="C747" s="1" t="n">
        <v>45939</v>
      </c>
      <c r="D747" t="inlineStr">
        <is>
          <t>VÄSTERBOTTENS LÄN</t>
        </is>
      </c>
      <c r="E747" t="inlineStr">
        <is>
          <t>VINDELN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2697-2025</t>
        </is>
      </c>
      <c r="B748" s="1" t="n">
        <v>45677.39728009259</v>
      </c>
      <c r="C748" s="1" t="n">
        <v>45939</v>
      </c>
      <c r="D748" t="inlineStr">
        <is>
          <t>VÄSTERBOTTENS LÄN</t>
        </is>
      </c>
      <c r="E748" t="inlineStr">
        <is>
          <t>VINDELN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27051-2025</t>
        </is>
      </c>
      <c r="B749" s="1" t="n">
        <v>45811.62070601852</v>
      </c>
      <c r="C749" s="1" t="n">
        <v>45939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26919-2025</t>
        </is>
      </c>
      <c r="B750" s="1" t="n">
        <v>45811.37582175926</v>
      </c>
      <c r="C750" s="1" t="n">
        <v>45939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6052-2025</t>
        </is>
      </c>
      <c r="B751" s="1" t="n">
        <v>45695.71142361111</v>
      </c>
      <c r="C751" s="1" t="n">
        <v>45939</v>
      </c>
      <c r="D751" t="inlineStr">
        <is>
          <t>VÄSTERBOTTENS LÄN</t>
        </is>
      </c>
      <c r="E751" t="inlineStr">
        <is>
          <t>VINDELN</t>
        </is>
      </c>
      <c r="G751" t="n">
        <v>18.6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26925-2025</t>
        </is>
      </c>
      <c r="B752" s="1" t="n">
        <v>45811.39081018518</v>
      </c>
      <c r="C752" s="1" t="n">
        <v>45939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51073-2024</t>
        </is>
      </c>
      <c r="B753" s="1" t="n">
        <v>45603.44994212963</v>
      </c>
      <c r="C753" s="1" t="n">
        <v>45939</v>
      </c>
      <c r="D753" t="inlineStr">
        <is>
          <t>VÄSTERBOTTENS LÄN</t>
        </is>
      </c>
      <c r="E753" t="inlineStr">
        <is>
          <t>VINDELN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27049-2025</t>
        </is>
      </c>
      <c r="B754" s="1" t="n">
        <v>45811.61696759259</v>
      </c>
      <c r="C754" s="1" t="n">
        <v>45939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12036-2025</t>
        </is>
      </c>
      <c r="B755" s="1" t="n">
        <v>45728.6524537037</v>
      </c>
      <c r="C755" s="1" t="n">
        <v>45939</v>
      </c>
      <c r="D755" t="inlineStr">
        <is>
          <t>VÄSTERBOTTENS LÄN</t>
        </is>
      </c>
      <c r="E755" t="inlineStr">
        <is>
          <t>VINDELN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27654-2025</t>
        </is>
      </c>
      <c r="B756" s="1" t="n">
        <v>45813.60324074074</v>
      </c>
      <c r="C756" s="1" t="n">
        <v>45939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27627-2025</t>
        </is>
      </c>
      <c r="B757" s="1" t="n">
        <v>45813.55851851852</v>
      </c>
      <c r="C757" s="1" t="n">
        <v>45939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27657-2025</t>
        </is>
      </c>
      <c r="B758" s="1" t="n">
        <v>45813.61297453703</v>
      </c>
      <c r="C758" s="1" t="n">
        <v>45939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16780-2022</t>
        </is>
      </c>
      <c r="B759" s="1" t="n">
        <v>44673</v>
      </c>
      <c r="C759" s="1" t="n">
        <v>45939</v>
      </c>
      <c r="D759" t="inlineStr">
        <is>
          <t>VÄSTERBOTTENS LÄN</t>
        </is>
      </c>
      <c r="E759" t="inlineStr">
        <is>
          <t>VINDELN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27568-2025</t>
        </is>
      </c>
      <c r="B760" s="1" t="n">
        <v>45813.49008101852</v>
      </c>
      <c r="C760" s="1" t="n">
        <v>45939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27428-2025</t>
        </is>
      </c>
      <c r="B761" s="1" t="n">
        <v>45813.28868055555</v>
      </c>
      <c r="C761" s="1" t="n">
        <v>45939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27699-2025</t>
        </is>
      </c>
      <c r="B762" s="1" t="n">
        <v>45813.67763888889</v>
      </c>
      <c r="C762" s="1" t="n">
        <v>45939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27466-2025</t>
        </is>
      </c>
      <c r="B763" s="1" t="n">
        <v>45813.3503125</v>
      </c>
      <c r="C763" s="1" t="n">
        <v>45939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27695-2025</t>
        </is>
      </c>
      <c r="B764" s="1" t="n">
        <v>45813.65725694445</v>
      </c>
      <c r="C764" s="1" t="n">
        <v>45939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27645-2025</t>
        </is>
      </c>
      <c r="B765" s="1" t="n">
        <v>45813.59431712963</v>
      </c>
      <c r="C765" s="1" t="n">
        <v>45939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20144-2024</t>
        </is>
      </c>
      <c r="B766" s="1" t="n">
        <v>45434</v>
      </c>
      <c r="C766" s="1" t="n">
        <v>45939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28014-2025</t>
        </is>
      </c>
      <c r="B767" s="1" t="n">
        <v>45817</v>
      </c>
      <c r="C767" s="1" t="n">
        <v>45939</v>
      </c>
      <c r="D767" t="inlineStr">
        <is>
          <t>VÄSTERBOTTENS LÄN</t>
        </is>
      </c>
      <c r="E767" t="inlineStr">
        <is>
          <t>VINDELN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37959-2023</t>
        </is>
      </c>
      <c r="B768" s="1" t="n">
        <v>45159</v>
      </c>
      <c r="C768" s="1" t="n">
        <v>45939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61044-2024</t>
        </is>
      </c>
      <c r="B769" s="1" t="n">
        <v>45645.47677083333</v>
      </c>
      <c r="C769" s="1" t="n">
        <v>45939</v>
      </c>
      <c r="D769" t="inlineStr">
        <is>
          <t>VÄSTERBOTTENS LÄN</t>
        </is>
      </c>
      <c r="E769" t="inlineStr">
        <is>
          <t>VINDELN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46839-2024</t>
        </is>
      </c>
      <c r="B770" s="1" t="n">
        <v>45583.59901620371</v>
      </c>
      <c r="C770" s="1" t="n">
        <v>45939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60059-2024</t>
        </is>
      </c>
      <c r="B771" s="1" t="n">
        <v>45642.49046296296</v>
      </c>
      <c r="C771" s="1" t="n">
        <v>45939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28051-2025</t>
        </is>
      </c>
      <c r="B772" s="1" t="n">
        <v>45817.65678240741</v>
      </c>
      <c r="C772" s="1" t="n">
        <v>45939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27799-2025</t>
        </is>
      </c>
      <c r="B773" s="1" t="n">
        <v>45816.90836805556</v>
      </c>
      <c r="C773" s="1" t="n">
        <v>45939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29468-2024</t>
        </is>
      </c>
      <c r="B774" s="1" t="n">
        <v>45483</v>
      </c>
      <c r="C774" s="1" t="n">
        <v>45939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18482-2025</t>
        </is>
      </c>
      <c r="B775" s="1" t="n">
        <v>45763.26912037037</v>
      </c>
      <c r="C775" s="1" t="n">
        <v>45939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28706-2025</t>
        </is>
      </c>
      <c r="B776" s="1" t="n">
        <v>45820.31462962963</v>
      </c>
      <c r="C776" s="1" t="n">
        <v>45939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52329-2023</t>
        </is>
      </c>
      <c r="B777" s="1" t="n">
        <v>45224.65313657407</v>
      </c>
      <c r="C777" s="1" t="n">
        <v>45939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24726-2024</t>
        </is>
      </c>
      <c r="B778" s="1" t="n">
        <v>45460</v>
      </c>
      <c r="C778" s="1" t="n">
        <v>45939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28528-2025</t>
        </is>
      </c>
      <c r="B779" s="1" t="n">
        <v>45819.49827546296</v>
      </c>
      <c r="C779" s="1" t="n">
        <v>45939</v>
      </c>
      <c r="D779" t="inlineStr">
        <is>
          <t>VÄSTERBOTTENS LÄN</t>
        </is>
      </c>
      <c r="E779" t="inlineStr">
        <is>
          <t>VINDELN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28816-2025</t>
        </is>
      </c>
      <c r="B780" s="1" t="n">
        <v>45820.5315625</v>
      </c>
      <c r="C780" s="1" t="n">
        <v>45939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22405-2024</t>
        </is>
      </c>
      <c r="B781" s="1" t="n">
        <v>45446</v>
      </c>
      <c r="C781" s="1" t="n">
        <v>45939</v>
      </c>
      <c r="D781" t="inlineStr">
        <is>
          <t>VÄSTERBOTTENS LÄN</t>
        </is>
      </c>
      <c r="E781" t="inlineStr">
        <is>
          <t>VINDELN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28749-2025</t>
        </is>
      </c>
      <c r="B782" s="1" t="n">
        <v>45820.39708333334</v>
      </c>
      <c r="C782" s="1" t="n">
        <v>45939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6660-2025</t>
        </is>
      </c>
      <c r="B783" s="1" t="n">
        <v>45700.44704861111</v>
      </c>
      <c r="C783" s="1" t="n">
        <v>45939</v>
      </c>
      <c r="D783" t="inlineStr">
        <is>
          <t>VÄSTERBOTTENS LÄN</t>
        </is>
      </c>
      <c r="E783" t="inlineStr">
        <is>
          <t>VINDELN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6662-2025</t>
        </is>
      </c>
      <c r="B784" s="1" t="n">
        <v>45700.45233796296</v>
      </c>
      <c r="C784" s="1" t="n">
        <v>45939</v>
      </c>
      <c r="D784" t="inlineStr">
        <is>
          <t>VÄSTERBOTTENS LÄN</t>
        </is>
      </c>
      <c r="E784" t="inlineStr">
        <is>
          <t>VINDELN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14111-2025</t>
        </is>
      </c>
      <c r="B785" s="1" t="n">
        <v>45740.45887731481</v>
      </c>
      <c r="C785" s="1" t="n">
        <v>45939</v>
      </c>
      <c r="D785" t="inlineStr">
        <is>
          <t>VÄSTERBOTTENS LÄN</t>
        </is>
      </c>
      <c r="E785" t="inlineStr">
        <is>
          <t>VINDELN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29877-2025</t>
        </is>
      </c>
      <c r="B786" s="1" t="n">
        <v>45826.36219907407</v>
      </c>
      <c r="C786" s="1" t="n">
        <v>45939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29752-2025</t>
        </is>
      </c>
      <c r="B787" s="1" t="n">
        <v>45825.60962962963</v>
      </c>
      <c r="C787" s="1" t="n">
        <v>45939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31942-2022</t>
        </is>
      </c>
      <c r="B788" s="1" t="n">
        <v>44777</v>
      </c>
      <c r="C788" s="1" t="n">
        <v>45939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19452-2022</t>
        </is>
      </c>
      <c r="B789" s="1" t="n">
        <v>44693</v>
      </c>
      <c r="C789" s="1" t="n">
        <v>45939</v>
      </c>
      <c r="D789" t="inlineStr">
        <is>
          <t>VÄSTERBOTTENS LÄN</t>
        </is>
      </c>
      <c r="E789" t="inlineStr">
        <is>
          <t>VINDELN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29974-2025</t>
        </is>
      </c>
      <c r="B790" s="1" t="n">
        <v>45826.49050925926</v>
      </c>
      <c r="C790" s="1" t="n">
        <v>45939</v>
      </c>
      <c r="D790" t="inlineStr">
        <is>
          <t>VÄSTERBOTTENS LÄN</t>
        </is>
      </c>
      <c r="E790" t="inlineStr">
        <is>
          <t>VINDELN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53002-2023</t>
        </is>
      </c>
      <c r="B791" s="1" t="n">
        <v>45226.64099537037</v>
      </c>
      <c r="C791" s="1" t="n">
        <v>45939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29517-2025</t>
        </is>
      </c>
      <c r="B792" s="1" t="n">
        <v>45825</v>
      </c>
      <c r="C792" s="1" t="n">
        <v>45939</v>
      </c>
      <c r="D792" t="inlineStr">
        <is>
          <t>VÄSTERBOTTENS LÄN</t>
        </is>
      </c>
      <c r="E792" t="inlineStr">
        <is>
          <t>VINDELN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29617-2025</t>
        </is>
      </c>
      <c r="B793" s="1" t="n">
        <v>45825.43520833334</v>
      </c>
      <c r="C793" s="1" t="n">
        <v>45939</v>
      </c>
      <c r="D793" t="inlineStr">
        <is>
          <t>VÄSTERBOTTENS LÄN</t>
        </is>
      </c>
      <c r="E793" t="inlineStr">
        <is>
          <t>VINDELN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29812-2025</t>
        </is>
      </c>
      <c r="B794" s="1" t="n">
        <v>45825.77450231482</v>
      </c>
      <c r="C794" s="1" t="n">
        <v>45939</v>
      </c>
      <c r="D794" t="inlineStr">
        <is>
          <t>VÄSTERBOTTENS LÄN</t>
        </is>
      </c>
      <c r="E794" t="inlineStr">
        <is>
          <t>VINDELN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29894-2025</t>
        </is>
      </c>
      <c r="B795" s="1" t="n">
        <v>45826</v>
      </c>
      <c r="C795" s="1" t="n">
        <v>45939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29507-2025</t>
        </is>
      </c>
      <c r="B796" s="1" t="n">
        <v>45825</v>
      </c>
      <c r="C796" s="1" t="n">
        <v>45939</v>
      </c>
      <c r="D796" t="inlineStr">
        <is>
          <t>VÄSTERBOTTENS LÄN</t>
        </is>
      </c>
      <c r="E796" t="inlineStr">
        <is>
          <t>VINDELN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29506-2025</t>
        </is>
      </c>
      <c r="B797" s="1" t="n">
        <v>45825</v>
      </c>
      <c r="C797" s="1" t="n">
        <v>45939</v>
      </c>
      <c r="D797" t="inlineStr">
        <is>
          <t>VÄSTERBOTTENS LÄN</t>
        </is>
      </c>
      <c r="E797" t="inlineStr">
        <is>
          <t>VINDELN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29604-2025</t>
        </is>
      </c>
      <c r="B798" s="1" t="n">
        <v>45825.4179050926</v>
      </c>
      <c r="C798" s="1" t="n">
        <v>45939</v>
      </c>
      <c r="D798" t="inlineStr">
        <is>
          <t>VÄSTERBOTTENS LÄN</t>
        </is>
      </c>
      <c r="E798" t="inlineStr">
        <is>
          <t>VINDELN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856-2025</t>
        </is>
      </c>
      <c r="B799" s="1" t="n">
        <v>45665</v>
      </c>
      <c r="C799" s="1" t="n">
        <v>45939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30449-2025</t>
        </is>
      </c>
      <c r="B800" s="1" t="n">
        <v>45827.66090277778</v>
      </c>
      <c r="C800" s="1" t="n">
        <v>45939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38909-2023</t>
        </is>
      </c>
      <c r="B801" s="1" t="n">
        <v>45163.57194444445</v>
      </c>
      <c r="C801" s="1" t="n">
        <v>45939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30679-2025</t>
        </is>
      </c>
      <c r="B802" s="1" t="n">
        <v>45831.52672453703</v>
      </c>
      <c r="C802" s="1" t="n">
        <v>45939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30924-2025</t>
        </is>
      </c>
      <c r="B803" s="1" t="n">
        <v>45832.3862037037</v>
      </c>
      <c r="C803" s="1" t="n">
        <v>45939</v>
      </c>
      <c r="D803" t="inlineStr">
        <is>
          <t>VÄSTERBOTTENS LÄN</t>
        </is>
      </c>
      <c r="E803" t="inlineStr">
        <is>
          <t>VINDELN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57846-2023</t>
        </is>
      </c>
      <c r="B804" s="1" t="n">
        <v>45247</v>
      </c>
      <c r="C804" s="1" t="n">
        <v>45939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30900-2025</t>
        </is>
      </c>
      <c r="B805" s="1" t="n">
        <v>45832.35804398148</v>
      </c>
      <c r="C805" s="1" t="n">
        <v>45939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30991-2025</t>
        </is>
      </c>
      <c r="B806" s="1" t="n">
        <v>45832.48483796296</v>
      </c>
      <c r="C806" s="1" t="n">
        <v>45939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30908-2025</t>
        </is>
      </c>
      <c r="B807" s="1" t="n">
        <v>45832.36497685185</v>
      </c>
      <c r="C807" s="1" t="n">
        <v>45939</v>
      </c>
      <c r="D807" t="inlineStr">
        <is>
          <t>VÄSTERBOTTENS LÄN</t>
        </is>
      </c>
      <c r="E807" t="inlineStr">
        <is>
          <t>VINDELN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30487-2025</t>
        </is>
      </c>
      <c r="B808" s="1" t="n">
        <v>45829.71057870371</v>
      </c>
      <c r="C808" s="1" t="n">
        <v>45939</v>
      </c>
      <c r="D808" t="inlineStr">
        <is>
          <t>VÄSTERBOTTENS LÄN</t>
        </is>
      </c>
      <c r="E808" t="inlineStr">
        <is>
          <t>VINDELN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30580-2025</t>
        </is>
      </c>
      <c r="B809" s="1" t="n">
        <v>45831.42009259259</v>
      </c>
      <c r="C809" s="1" t="n">
        <v>45939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30945-2025</t>
        </is>
      </c>
      <c r="B810" s="1" t="n">
        <v>45832.41233796296</v>
      </c>
      <c r="C810" s="1" t="n">
        <v>45939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31389-2025</t>
        </is>
      </c>
      <c r="B811" s="1" t="n">
        <v>45832</v>
      </c>
      <c r="C811" s="1" t="n">
        <v>45939</v>
      </c>
      <c r="D811" t="inlineStr">
        <is>
          <t>VÄSTERBOTTENS LÄN</t>
        </is>
      </c>
      <c r="E811" t="inlineStr">
        <is>
          <t>VINDELN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30744-2025</t>
        </is>
      </c>
      <c r="B812" s="1" t="n">
        <v>45831.57969907407</v>
      </c>
      <c r="C812" s="1" t="n">
        <v>45939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25399-2024</t>
        </is>
      </c>
      <c r="B813" s="1" t="n">
        <v>45463</v>
      </c>
      <c r="C813" s="1" t="n">
        <v>45939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30758-2025</t>
        </is>
      </c>
      <c r="B814" s="1" t="n">
        <v>45831.59677083333</v>
      </c>
      <c r="C814" s="1" t="n">
        <v>45939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31663-2025</t>
        </is>
      </c>
      <c r="B815" s="1" t="n">
        <v>45834.35773148148</v>
      </c>
      <c r="C815" s="1" t="n">
        <v>45939</v>
      </c>
      <c r="D815" t="inlineStr">
        <is>
          <t>VÄSTERBOTTENS LÄN</t>
        </is>
      </c>
      <c r="E815" t="inlineStr">
        <is>
          <t>VINDELN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16598-2025</t>
        </is>
      </c>
      <c r="B816" s="1" t="n">
        <v>45753.47692129629</v>
      </c>
      <c r="C816" s="1" t="n">
        <v>45939</v>
      </c>
      <c r="D816" t="inlineStr">
        <is>
          <t>VÄSTERBOTTENS LÄN</t>
        </is>
      </c>
      <c r="E816" t="inlineStr">
        <is>
          <t>VINDELN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50805-2023</t>
        </is>
      </c>
      <c r="B817" s="1" t="n">
        <v>45211</v>
      </c>
      <c r="C817" s="1" t="n">
        <v>45939</v>
      </c>
      <c r="D817" t="inlineStr">
        <is>
          <t>VÄSTERBOTTENS LÄN</t>
        </is>
      </c>
      <c r="E817" t="inlineStr">
        <is>
          <t>VINDELN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60311-2022</t>
        </is>
      </c>
      <c r="B818" s="1" t="n">
        <v>44910</v>
      </c>
      <c r="C818" s="1" t="n">
        <v>45939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60391-2024</t>
        </is>
      </c>
      <c r="B819" s="1" t="n">
        <v>45643.49018518518</v>
      </c>
      <c r="C819" s="1" t="n">
        <v>45939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24759-2024</t>
        </is>
      </c>
      <c r="B820" s="1" t="n">
        <v>45460.67993055555</v>
      </c>
      <c r="C820" s="1" t="n">
        <v>45939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16542-2025</t>
        </is>
      </c>
      <c r="B821" s="1" t="n">
        <v>45751.67792824074</v>
      </c>
      <c r="C821" s="1" t="n">
        <v>45939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32198-2025</t>
        </is>
      </c>
      <c r="B822" s="1" t="n">
        <v>45835.57682870371</v>
      </c>
      <c r="C822" s="1" t="n">
        <v>45939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34098-2023</t>
        </is>
      </c>
      <c r="B823" s="1" t="n">
        <v>45135.58939814815</v>
      </c>
      <c r="C823" s="1" t="n">
        <v>45939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32245-2025</t>
        </is>
      </c>
      <c r="B824" s="1" t="n">
        <v>45835.61631944445</v>
      </c>
      <c r="C824" s="1" t="n">
        <v>45939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3212-2024</t>
        </is>
      </c>
      <c r="B825" s="1" t="n">
        <v>45316</v>
      </c>
      <c r="C825" s="1" t="n">
        <v>45939</v>
      </c>
      <c r="D825" t="inlineStr">
        <is>
          <t>VÄSTERBOTTENS LÄN</t>
        </is>
      </c>
      <c r="E825" t="inlineStr">
        <is>
          <t>VINDELN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55427-2023</t>
        </is>
      </c>
      <c r="B826" s="1" t="n">
        <v>45238.42410879629</v>
      </c>
      <c r="C826" s="1" t="n">
        <v>45939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14247-2025</t>
        </is>
      </c>
      <c r="B827" s="1" t="n">
        <v>45740.61497685185</v>
      </c>
      <c r="C827" s="1" t="n">
        <v>45939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53640-2023</t>
        </is>
      </c>
      <c r="B828" s="1" t="n">
        <v>45230.59909722222</v>
      </c>
      <c r="C828" s="1" t="n">
        <v>45939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32232-2025</t>
        </is>
      </c>
      <c r="B829" s="1" t="n">
        <v>45835.60241898148</v>
      </c>
      <c r="C829" s="1" t="n">
        <v>45939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32262-2025</t>
        </is>
      </c>
      <c r="B830" s="1" t="n">
        <v>45835.64796296296</v>
      </c>
      <c r="C830" s="1" t="n">
        <v>45939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32292-2025</t>
        </is>
      </c>
      <c r="B831" s="1" t="n">
        <v>45835.7030787037</v>
      </c>
      <c r="C831" s="1" t="n">
        <v>45939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32415-2025</t>
        </is>
      </c>
      <c r="B832" s="1" t="n">
        <v>45838.34214120371</v>
      </c>
      <c r="C832" s="1" t="n">
        <v>45939</v>
      </c>
      <c r="D832" t="inlineStr">
        <is>
          <t>VÄSTERBOTTENS LÄN</t>
        </is>
      </c>
      <c r="E832" t="inlineStr">
        <is>
          <t>VINDELN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32305-2025</t>
        </is>
      </c>
      <c r="B833" s="1" t="n">
        <v>45835.71929398148</v>
      </c>
      <c r="C833" s="1" t="n">
        <v>45939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32446-2025</t>
        </is>
      </c>
      <c r="B834" s="1" t="n">
        <v>45838.38635416667</v>
      </c>
      <c r="C834" s="1" t="n">
        <v>45939</v>
      </c>
      <c r="D834" t="inlineStr">
        <is>
          <t>VÄSTERBOTTENS LÄN</t>
        </is>
      </c>
      <c r="E834" t="inlineStr">
        <is>
          <t>VINDELN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4568-2024</t>
        </is>
      </c>
      <c r="B835" s="1" t="n">
        <v>45327</v>
      </c>
      <c r="C835" s="1" t="n">
        <v>45939</v>
      </c>
      <c r="D835" t="inlineStr">
        <is>
          <t>VÄSTERBOTTENS LÄN</t>
        </is>
      </c>
      <c r="E835" t="inlineStr">
        <is>
          <t>VINDELN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8954-2023</t>
        </is>
      </c>
      <c r="B836" s="1" t="n">
        <v>44974</v>
      </c>
      <c r="C836" s="1" t="n">
        <v>45939</v>
      </c>
      <c r="D836" t="inlineStr">
        <is>
          <t>VÄSTERBOTTENS LÄN</t>
        </is>
      </c>
      <c r="E836" t="inlineStr">
        <is>
          <t>VINDELN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33860-2025</t>
        </is>
      </c>
      <c r="B837" s="1" t="n">
        <v>45842.52545138889</v>
      </c>
      <c r="C837" s="1" t="n">
        <v>45939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33657-2025</t>
        </is>
      </c>
      <c r="B838" s="1" t="n">
        <v>45841.66048611111</v>
      </c>
      <c r="C838" s="1" t="n">
        <v>45939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2100-2024</t>
        </is>
      </c>
      <c r="B839" s="1" t="n">
        <v>45309.44717592592</v>
      </c>
      <c r="C839" s="1" t="n">
        <v>45939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33866-2025</t>
        </is>
      </c>
      <c r="B840" s="1" t="n">
        <v>45842.53322916666</v>
      </c>
      <c r="C840" s="1" t="n">
        <v>45939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33878-2025</t>
        </is>
      </c>
      <c r="B841" s="1" t="n">
        <v>45842.55579861111</v>
      </c>
      <c r="C841" s="1" t="n">
        <v>45939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33413-2025</t>
        </is>
      </c>
      <c r="B842" s="1" t="n">
        <v>45841.43574074074</v>
      </c>
      <c r="C842" s="1" t="n">
        <v>45939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38987-2023</t>
        </is>
      </c>
      <c r="B843" s="1" t="n">
        <v>45163</v>
      </c>
      <c r="C843" s="1" t="n">
        <v>45939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33457-2025</t>
        </is>
      </c>
      <c r="B844" s="1" t="n">
        <v>45841.47648148148</v>
      </c>
      <c r="C844" s="1" t="n">
        <v>45939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33545-2025</t>
        </is>
      </c>
      <c r="B845" s="1" t="n">
        <v>45841.56859953704</v>
      </c>
      <c r="C845" s="1" t="n">
        <v>45939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33871-2025</t>
        </is>
      </c>
      <c r="B846" s="1" t="n">
        <v>45842.54415509259</v>
      </c>
      <c r="C846" s="1" t="n">
        <v>45939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13.5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33872-2025</t>
        </is>
      </c>
      <c r="B847" s="1" t="n">
        <v>45842.54907407407</v>
      </c>
      <c r="C847" s="1" t="n">
        <v>45939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59609-2023</t>
        </is>
      </c>
      <c r="B848" s="1" t="n">
        <v>45254.6369675926</v>
      </c>
      <c r="C848" s="1" t="n">
        <v>45939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1802-2024</t>
        </is>
      </c>
      <c r="B849" s="1" t="n">
        <v>45307</v>
      </c>
      <c r="C849" s="1" t="n">
        <v>45939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35.5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58350-2023</t>
        </is>
      </c>
      <c r="B850" s="1" t="n">
        <v>45250.62596064815</v>
      </c>
      <c r="C850" s="1" t="n">
        <v>45939</v>
      </c>
      <c r="D850" t="inlineStr">
        <is>
          <t>VÄSTERBOTTENS LÄN</t>
        </is>
      </c>
      <c r="E850" t="inlineStr">
        <is>
          <t>VINDELN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19706-2025</t>
        </is>
      </c>
      <c r="B851" s="1" t="n">
        <v>45771.34158564815</v>
      </c>
      <c r="C851" s="1" t="n">
        <v>45939</v>
      </c>
      <c r="D851" t="inlineStr">
        <is>
          <t>VÄSTERBOTTENS LÄN</t>
        </is>
      </c>
      <c r="E851" t="inlineStr">
        <is>
          <t>VINDELN</t>
        </is>
      </c>
      <c r="G851" t="n">
        <v>19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38953-2023</t>
        </is>
      </c>
      <c r="B852" s="1" t="n">
        <v>45163.61561342593</v>
      </c>
      <c r="C852" s="1" t="n">
        <v>45939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28987-2022</t>
        </is>
      </c>
      <c r="B853" s="1" t="n">
        <v>44749</v>
      </c>
      <c r="C853" s="1" t="n">
        <v>45939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56640-2023</t>
        </is>
      </c>
      <c r="B854" s="1" t="n">
        <v>45243.72438657407</v>
      </c>
      <c r="C854" s="1" t="n">
        <v>45939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22904-2024</t>
        </is>
      </c>
      <c r="B855" s="1" t="n">
        <v>45448.70927083334</v>
      </c>
      <c r="C855" s="1" t="n">
        <v>45939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25387-2024</t>
        </is>
      </c>
      <c r="B856" s="1" t="n">
        <v>45462.96380787037</v>
      </c>
      <c r="C856" s="1" t="n">
        <v>45939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34519-2025</t>
        </is>
      </c>
      <c r="B857" s="1" t="n">
        <v>45847.46929398148</v>
      </c>
      <c r="C857" s="1" t="n">
        <v>45939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62729-2022</t>
        </is>
      </c>
      <c r="B858" s="1" t="n">
        <v>44925</v>
      </c>
      <c r="C858" s="1" t="n">
        <v>45939</v>
      </c>
      <c r="D858" t="inlineStr">
        <is>
          <t>VÄSTERBOTTENS LÄN</t>
        </is>
      </c>
      <c r="E858" t="inlineStr">
        <is>
          <t>VINDELN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54786-2023</t>
        </is>
      </c>
      <c r="B859" s="1" t="n">
        <v>45229</v>
      </c>
      <c r="C859" s="1" t="n">
        <v>45939</v>
      </c>
      <c r="D859" t="inlineStr">
        <is>
          <t>VÄSTERBOTTENS LÄN</t>
        </is>
      </c>
      <c r="E859" t="inlineStr">
        <is>
          <t>VINDELN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40785-2024</t>
        </is>
      </c>
      <c r="B860" s="1" t="n">
        <v>45558.49664351852</v>
      </c>
      <c r="C860" s="1" t="n">
        <v>45939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40785-2024 karta knärot.png", "A 40785-2024")</f>
        <v/>
      </c>
      <c r="V860">
        <f>HYPERLINK("https://klasma.github.io/Logging_2404/klagomål/A 40785-2024 FSC-klagomål.docx", "A 40785-2024")</f>
        <v/>
      </c>
      <c r="W860">
        <f>HYPERLINK("https://klasma.github.io/Logging_2404/klagomålsmail/A 40785-2024 FSC-klagomål mail.docx", "A 40785-2024")</f>
        <v/>
      </c>
      <c r="X860">
        <f>HYPERLINK("https://klasma.github.io/Logging_2404/tillsyn/A 40785-2024 tillsynsbegäran.docx", "A 40785-2024")</f>
        <v/>
      </c>
      <c r="Y860">
        <f>HYPERLINK("https://klasma.github.io/Logging_2404/tillsynsmail/A 40785-2024 tillsynsbegäran mail.docx", "A 40785-2024")</f>
        <v/>
      </c>
    </row>
    <row r="861" ht="15" customHeight="1">
      <c r="A861" t="inlineStr">
        <is>
          <t>A 34-2024</t>
        </is>
      </c>
      <c r="B861" s="1" t="n">
        <v>45293</v>
      </c>
      <c r="C861" s="1" t="n">
        <v>45939</v>
      </c>
      <c r="D861" t="inlineStr">
        <is>
          <t>VÄSTERBOTTENS LÄN</t>
        </is>
      </c>
      <c r="E861" t="inlineStr">
        <is>
          <t>VINDELN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14994-2025</t>
        </is>
      </c>
      <c r="B862" s="1" t="n">
        <v>45743</v>
      </c>
      <c r="C862" s="1" t="n">
        <v>45939</v>
      </c>
      <c r="D862" t="inlineStr">
        <is>
          <t>VÄSTERBOTTENS LÄN</t>
        </is>
      </c>
      <c r="E862" t="inlineStr">
        <is>
          <t>VINDELN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29651-2024</t>
        </is>
      </c>
      <c r="B863" s="1" t="n">
        <v>45484.85026620371</v>
      </c>
      <c r="C863" s="1" t="n">
        <v>45939</v>
      </c>
      <c r="D863" t="inlineStr">
        <is>
          <t>VÄSTERBOTTENS LÄN</t>
        </is>
      </c>
      <c r="E863" t="inlineStr">
        <is>
          <t>VINDELN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36588-2024</t>
        </is>
      </c>
      <c r="B864" s="1" t="n">
        <v>45537</v>
      </c>
      <c r="C864" s="1" t="n">
        <v>45939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15613-2025</t>
        </is>
      </c>
      <c r="B865" s="1" t="n">
        <v>45748.35021990741</v>
      </c>
      <c r="C865" s="1" t="n">
        <v>45939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41007-2025</t>
        </is>
      </c>
      <c r="B866" s="1" t="n">
        <v>45898.34947916667</v>
      </c>
      <c r="C866" s="1" t="n">
        <v>45939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18392-2022</t>
        </is>
      </c>
      <c r="B867" s="1" t="n">
        <v>44685</v>
      </c>
      <c r="C867" s="1" t="n">
        <v>45939</v>
      </c>
      <c r="D867" t="inlineStr">
        <is>
          <t>VÄSTERBOTTENS LÄN</t>
        </is>
      </c>
      <c r="E867" t="inlineStr">
        <is>
          <t>VINDELN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64956-2020</t>
        </is>
      </c>
      <c r="B868" s="1" t="n">
        <v>44167</v>
      </c>
      <c r="C868" s="1" t="n">
        <v>45939</v>
      </c>
      <c r="D868" t="inlineStr">
        <is>
          <t>VÄSTERBOTTENS LÄN</t>
        </is>
      </c>
      <c r="E868" t="inlineStr">
        <is>
          <t>VINDELN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41667-2024</t>
        </is>
      </c>
      <c r="B869" s="1" t="n">
        <v>45560</v>
      </c>
      <c r="C869" s="1" t="n">
        <v>45939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40874-2025</t>
        </is>
      </c>
      <c r="B870" s="1" t="n">
        <v>45897.57534722222</v>
      </c>
      <c r="C870" s="1" t="n">
        <v>45939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14991-2021</t>
        </is>
      </c>
      <c r="B871" s="1" t="n">
        <v>44281</v>
      </c>
      <c r="C871" s="1" t="n">
        <v>45939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45939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41749-2025</t>
        </is>
      </c>
      <c r="B873" s="1" t="n">
        <v>45902.49125</v>
      </c>
      <c r="C873" s="1" t="n">
        <v>45939</v>
      </c>
      <c r="D873" t="inlineStr">
        <is>
          <t>VÄSTERBOTTENS LÄN</t>
        </is>
      </c>
      <c r="E873" t="inlineStr">
        <is>
          <t>VINDELN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39022-2023</t>
        </is>
      </c>
      <c r="B874" s="1" t="n">
        <v>45163.80377314815</v>
      </c>
      <c r="C874" s="1" t="n">
        <v>45939</v>
      </c>
      <c r="D874" t="inlineStr">
        <is>
          <t>VÄSTERBOTTENS LÄN</t>
        </is>
      </c>
      <c r="E874" t="inlineStr">
        <is>
          <t>VINDELN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41446-2025</t>
        </is>
      </c>
      <c r="B875" s="1" t="n">
        <v>45901.42340277778</v>
      </c>
      <c r="C875" s="1" t="n">
        <v>45939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35925-2023</t>
        </is>
      </c>
      <c r="B876" s="1" t="n">
        <v>45148</v>
      </c>
      <c r="C876" s="1" t="n">
        <v>45939</v>
      </c>
      <c r="D876" t="inlineStr">
        <is>
          <t>VÄSTERBOTTENS LÄN</t>
        </is>
      </c>
      <c r="E876" t="inlineStr">
        <is>
          <t>VINDELN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35748-2025</t>
        </is>
      </c>
      <c r="B877" s="1" t="n">
        <v>45860.56612268519</v>
      </c>
      <c r="C877" s="1" t="n">
        <v>45939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14239-2025</t>
        </is>
      </c>
      <c r="B878" s="1" t="n">
        <v>45740.61157407407</v>
      </c>
      <c r="C878" s="1" t="n">
        <v>45939</v>
      </c>
      <c r="D878" t="inlineStr">
        <is>
          <t>VÄSTERBOTTENS LÄN</t>
        </is>
      </c>
      <c r="E878" t="inlineStr">
        <is>
          <t>VINDELN</t>
        </is>
      </c>
      <c r="G878" t="n">
        <v>12.2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40734-2025</t>
        </is>
      </c>
      <c r="B879" s="1" t="n">
        <v>45897.3653125</v>
      </c>
      <c r="C879" s="1" t="n">
        <v>45939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35834-2025</t>
        </is>
      </c>
      <c r="B880" s="1" t="n">
        <v>45861.53163194445</v>
      </c>
      <c r="C880" s="1" t="n">
        <v>45939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35842-2025</t>
        </is>
      </c>
      <c r="B881" s="1" t="n">
        <v>45861.55259259259</v>
      </c>
      <c r="C881" s="1" t="n">
        <v>45939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41101-2025</t>
        </is>
      </c>
      <c r="B882" s="1" t="n">
        <v>45898</v>
      </c>
      <c r="C882" s="1" t="n">
        <v>45939</v>
      </c>
      <c r="D882" t="inlineStr">
        <is>
          <t>VÄSTERBOTTENS LÄN</t>
        </is>
      </c>
      <c r="E882" t="inlineStr">
        <is>
          <t>VINDELN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40786-2025</t>
        </is>
      </c>
      <c r="B883" s="1" t="n">
        <v>45897</v>
      </c>
      <c r="C883" s="1" t="n">
        <v>45939</v>
      </c>
      <c r="D883" t="inlineStr">
        <is>
          <t>VÄSTERBOTTENS LÄN</t>
        </is>
      </c>
      <c r="E883" t="inlineStr">
        <is>
          <t>VINDELN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48138-2024</t>
        </is>
      </c>
      <c r="B884" s="1" t="n">
        <v>45589.6599074074</v>
      </c>
      <c r="C884" s="1" t="n">
        <v>45939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40767-2025</t>
        </is>
      </c>
      <c r="B885" s="1" t="n">
        <v>45897</v>
      </c>
      <c r="C885" s="1" t="n">
        <v>45939</v>
      </c>
      <c r="D885" t="inlineStr">
        <is>
          <t>VÄSTERBOTTENS LÄN</t>
        </is>
      </c>
      <c r="E885" t="inlineStr">
        <is>
          <t>VINDELN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40735-2025</t>
        </is>
      </c>
      <c r="B886" s="1" t="n">
        <v>45897.36552083334</v>
      </c>
      <c r="C886" s="1" t="n">
        <v>45939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20681-2024</t>
        </is>
      </c>
      <c r="B887" s="1" t="n">
        <v>45436</v>
      </c>
      <c r="C887" s="1" t="n">
        <v>45939</v>
      </c>
      <c r="D887" t="inlineStr">
        <is>
          <t>VÄSTERBOTTENS LÄN</t>
        </is>
      </c>
      <c r="E887" t="inlineStr">
        <is>
          <t>VINDELN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40733-2025</t>
        </is>
      </c>
      <c r="B888" s="1" t="n">
        <v>45897</v>
      </c>
      <c r="C888" s="1" t="n">
        <v>45939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41459-2025</t>
        </is>
      </c>
      <c r="B889" s="1" t="n">
        <v>45901</v>
      </c>
      <c r="C889" s="1" t="n">
        <v>45939</v>
      </c>
      <c r="D889" t="inlineStr">
        <is>
          <t>VÄSTERBOTTENS LÄN</t>
        </is>
      </c>
      <c r="E889" t="inlineStr">
        <is>
          <t>VINDELN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35972-2025</t>
        </is>
      </c>
      <c r="B890" s="1" t="n">
        <v>45863.42079861111</v>
      </c>
      <c r="C890" s="1" t="n">
        <v>45939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42564-2025</t>
        </is>
      </c>
      <c r="B891" s="1" t="n">
        <v>45905</v>
      </c>
      <c r="C891" s="1" t="n">
        <v>45939</v>
      </c>
      <c r="D891" t="inlineStr">
        <is>
          <t>VÄSTERBOTTENS LÄN</t>
        </is>
      </c>
      <c r="E891" t="inlineStr">
        <is>
          <t>VINDELN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54212-2024</t>
        </is>
      </c>
      <c r="B892" s="1" t="n">
        <v>45616.65744212963</v>
      </c>
      <c r="C892" s="1" t="n">
        <v>45939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33965-2024</t>
        </is>
      </c>
      <c r="B893" s="1" t="n">
        <v>45523.49219907408</v>
      </c>
      <c r="C893" s="1" t="n">
        <v>45939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33095-2024</t>
        </is>
      </c>
      <c r="B894" s="1" t="n">
        <v>45517.6928125</v>
      </c>
      <c r="C894" s="1" t="n">
        <v>45939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4379-2024</t>
        </is>
      </c>
      <c r="B895" s="1" t="n">
        <v>45326.97043981482</v>
      </c>
      <c r="C895" s="1" t="n">
        <v>45939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13835-2024</t>
        </is>
      </c>
      <c r="B896" s="1" t="n">
        <v>45390</v>
      </c>
      <c r="C896" s="1" t="n">
        <v>45939</v>
      </c>
      <c r="D896" t="inlineStr">
        <is>
          <t>VÄSTERBOTTENS LÄN</t>
        </is>
      </c>
      <c r="E896" t="inlineStr">
        <is>
          <t>VINDELN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16002-2024</t>
        </is>
      </c>
      <c r="B897" s="1" t="n">
        <v>45405</v>
      </c>
      <c r="C897" s="1" t="n">
        <v>45939</v>
      </c>
      <c r="D897" t="inlineStr">
        <is>
          <t>VÄSTERBOTTENS LÄN</t>
        </is>
      </c>
      <c r="E897" t="inlineStr">
        <is>
          <t>VINDELN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14957-2025</t>
        </is>
      </c>
      <c r="B898" s="1" t="n">
        <v>45743.58413194444</v>
      </c>
      <c r="C898" s="1" t="n">
        <v>45939</v>
      </c>
      <c r="D898" t="inlineStr">
        <is>
          <t>VÄSTERBOTTENS LÄN</t>
        </is>
      </c>
      <c r="E898" t="inlineStr">
        <is>
          <t>VINDELN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33745-2024</t>
        </is>
      </c>
      <c r="B899" s="1" t="n">
        <v>45520.56268518518</v>
      </c>
      <c r="C899" s="1" t="n">
        <v>45939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43176-2025</t>
        </is>
      </c>
      <c r="B900" s="1" t="n">
        <v>45910.4053125</v>
      </c>
      <c r="C900" s="1" t="n">
        <v>45939</v>
      </c>
      <c r="D900" t="inlineStr">
        <is>
          <t>VÄSTERBOTTENS LÄN</t>
        </is>
      </c>
      <c r="E900" t="inlineStr">
        <is>
          <t>VINDELN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36314-2025</t>
        </is>
      </c>
      <c r="B901" s="1" t="n">
        <v>45868.34462962963</v>
      </c>
      <c r="C901" s="1" t="n">
        <v>45939</v>
      </c>
      <c r="D901" t="inlineStr">
        <is>
          <t>VÄSTERBOTTENS LÄN</t>
        </is>
      </c>
      <c r="E901" t="inlineStr">
        <is>
          <t>VINDELN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42941-2025</t>
        </is>
      </c>
      <c r="B902" s="1" t="n">
        <v>45909.33482638889</v>
      </c>
      <c r="C902" s="1" t="n">
        <v>45939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36155-2025</t>
        </is>
      </c>
      <c r="B903" s="1" t="n">
        <v>45867.34467592592</v>
      </c>
      <c r="C903" s="1" t="n">
        <v>45939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41455-2024</t>
        </is>
      </c>
      <c r="B904" s="1" t="n">
        <v>45560</v>
      </c>
      <c r="C904" s="1" t="n">
        <v>45939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41462-2024</t>
        </is>
      </c>
      <c r="B905" s="1" t="n">
        <v>45560</v>
      </c>
      <c r="C905" s="1" t="n">
        <v>45939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36262-2025</t>
        </is>
      </c>
      <c r="B906" s="1" t="n">
        <v>45867.61493055556</v>
      </c>
      <c r="C906" s="1" t="n">
        <v>45939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61396-2022</t>
        </is>
      </c>
      <c r="B907" s="1" t="n">
        <v>44915</v>
      </c>
      <c r="C907" s="1" t="n">
        <v>45939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42968-2025</t>
        </is>
      </c>
      <c r="B908" s="1" t="n">
        <v>45909</v>
      </c>
      <c r="C908" s="1" t="n">
        <v>45939</v>
      </c>
      <c r="D908" t="inlineStr">
        <is>
          <t>VÄSTERBOTTENS LÄN</t>
        </is>
      </c>
      <c r="E908" t="inlineStr">
        <is>
          <t>VINDELN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36151-2025</t>
        </is>
      </c>
      <c r="B909" s="1" t="n">
        <v>45867.31869212963</v>
      </c>
      <c r="C909" s="1" t="n">
        <v>45939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43080-2025</t>
        </is>
      </c>
      <c r="B910" s="1" t="n">
        <v>45909</v>
      </c>
      <c r="C910" s="1" t="n">
        <v>45939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42979-2025</t>
        </is>
      </c>
      <c r="B911" s="1" t="n">
        <v>45909</v>
      </c>
      <c r="C911" s="1" t="n">
        <v>45939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43828-2025</t>
        </is>
      </c>
      <c r="B912" s="1" t="n">
        <v>45912.62778935185</v>
      </c>
      <c r="C912" s="1" t="n">
        <v>45939</v>
      </c>
      <c r="D912" t="inlineStr">
        <is>
          <t>VÄSTERBOTTENS LÄN</t>
        </is>
      </c>
      <c r="E912" t="inlineStr">
        <is>
          <t>VINDELN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43846-2025</t>
        </is>
      </c>
      <c r="B913" s="1" t="n">
        <v>45912.63753472222</v>
      </c>
      <c r="C913" s="1" t="n">
        <v>45939</v>
      </c>
      <c r="D913" t="inlineStr">
        <is>
          <t>VÄSTERBOTTENS LÄN</t>
        </is>
      </c>
      <c r="E913" t="inlineStr">
        <is>
          <t>VINDELN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43743-2025</t>
        </is>
      </c>
      <c r="B914" s="1" t="n">
        <v>45912.45751157407</v>
      </c>
      <c r="C914" s="1" t="n">
        <v>45939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43783-2025</t>
        </is>
      </c>
      <c r="B915" s="1" t="n">
        <v>45912.52703703703</v>
      </c>
      <c r="C915" s="1" t="n">
        <v>45939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43890-2025</t>
        </is>
      </c>
      <c r="B916" s="1" t="n">
        <v>45912.7069675926</v>
      </c>
      <c r="C916" s="1" t="n">
        <v>45939</v>
      </c>
      <c r="D916" t="inlineStr">
        <is>
          <t>VÄSTERBOTTENS LÄN</t>
        </is>
      </c>
      <c r="E916" t="inlineStr">
        <is>
          <t>VINDELN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43870-2025</t>
        </is>
      </c>
      <c r="B917" s="1" t="n">
        <v>45912.66537037037</v>
      </c>
      <c r="C917" s="1" t="n">
        <v>45939</v>
      </c>
      <c r="D917" t="inlineStr">
        <is>
          <t>VÄSTERBOTTENS LÄN</t>
        </is>
      </c>
      <c r="E917" t="inlineStr">
        <is>
          <t>VINDELN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43390-2025</t>
        </is>
      </c>
      <c r="B918" s="1" t="n">
        <v>45911.36674768518</v>
      </c>
      <c r="C918" s="1" t="n">
        <v>45939</v>
      </c>
      <c r="D918" t="inlineStr">
        <is>
          <t>VÄSTERBOTTENS LÄN</t>
        </is>
      </c>
      <c r="E918" t="inlineStr">
        <is>
          <t>VINDELN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43734-2025</t>
        </is>
      </c>
      <c r="B919" s="1" t="n">
        <v>45912.44119212963</v>
      </c>
      <c r="C919" s="1" t="n">
        <v>45939</v>
      </c>
      <c r="D919" t="inlineStr">
        <is>
          <t>VÄSTERBOTTENS LÄN</t>
        </is>
      </c>
      <c r="E919" t="inlineStr">
        <is>
          <t>VINDELN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43392-2025</t>
        </is>
      </c>
      <c r="B920" s="1" t="n">
        <v>45911.36961805556</v>
      </c>
      <c r="C920" s="1" t="n">
        <v>45939</v>
      </c>
      <c r="D920" t="inlineStr">
        <is>
          <t>VÄSTERBOTTENS LÄN</t>
        </is>
      </c>
      <c r="E920" t="inlineStr">
        <is>
          <t>VINDELN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2025-10-09T12:35:56Z</dcterms:created>
  <dcterms:modified xmlns:dcterms="http://purl.org/dc/terms/" xmlns:xsi="http://www.w3.org/2001/XMLSchema-instance" xsi:type="dcterms:W3CDTF">2025-10-09T12:35:57Z</dcterms:modified>
</cp:coreProperties>
</file>